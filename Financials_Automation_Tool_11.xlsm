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Financials Automation\Gemini Iteration\"/>
    </mc:Choice>
  </mc:AlternateContent>
  <xr:revisionPtr revIDLastSave="0" documentId="13_ncr:1_{671FE325-29B5-4312-9324-5568BEF0DA9A}" xr6:coauthVersionLast="47" xr6:coauthVersionMax="47" xr10:uidLastSave="{00000000-0000-0000-0000-000000000000}"/>
  <bookViews>
    <workbookView xWindow="-110" yWindow="-110" windowWidth="27580" windowHeight="17740" firstSheet="9" activeTab="13" xr2:uid="{00000000-000D-0000-FFFF-FFFF00000000}"/>
  </bookViews>
  <sheets>
    <sheet name="Common_Control_Sheet" sheetId="282" r:id="rId1"/>
    <sheet name="Input_Trial_Balance" sheetId="283" r:id="rId2"/>
    <sheet name="Input_Share_Capital" sheetId="284" r:id="rId3"/>
    <sheet name="Input_PPE_Schedule" sheetId="285" r:id="rId4"/>
    <sheet name="Input_CWIP_Schedule" sheetId="286" r:id="rId5"/>
    <sheet name="Input_Intangible_Schedule" sheetId="287" r:id="rId6"/>
    <sheet name="Input_Investments" sheetId="288" r:id="rId7"/>
    <sheet name="Input_Employee_Benefits" sheetId="289" r:id="rId8"/>
    <sheet name="Input_Taxes" sheetId="290" r:id="rId9"/>
    <sheet name="Input_Related_Party_Txns" sheetId="291" r:id="rId10"/>
    <sheet name="Input_Contingent_Liab" sheetId="292" r:id="rId11"/>
    <sheet name="Input_Receivables_Ledger" sheetId="293" r:id="rId12"/>
    <sheet name="Input_Payables_Ledger" sheetId="294" r:id="rId13"/>
    <sheet name="Selection_Sheet" sheetId="295" r:id="rId14"/>
    <sheet name="Balance_Sheet" sheetId="296" r:id="rId15"/>
    <sheet name="Statement_of_PL" sheetId="297" r:id="rId16"/>
    <sheet name="Cash_Flow_Statement" sheetId="298" r:id="rId17"/>
    <sheet name="Notes_to_Accounts" sheetId="299" r:id="rId18"/>
    <sheet name="Ratio_Analysis" sheetId="300" r:id="rId19"/>
    <sheet name="Aging_Schedules" sheetId="301" r:id="rId20"/>
  </sheets>
  <definedNames>
    <definedName name="Groupings">OFFSET(Common_Control_Sheet!$E$2,0,0,MAX(1,COUNTA(Common_Control_Sheet!$E:$E)-1),1)</definedName>
    <definedName name="MajorHeads">OFFSET(Common_Control_Sheet!$C$2,0,0,MAX(1,COUNTA(Common_Control_Sheet!$C:$C)-1),1)</definedName>
    <definedName name="MinorHeads">OFFSET(Common_Control_Sheet!$D$2,0,0,MAX(1,COUNTA(Common_Control_Sheet!$D:$D)-1),1)</definedName>
    <definedName name="RelatedParties">OFFSET(Common_Control_Sheet!$G$2,0,0,MAX(1,COUNTA(Common_Control_Sheet!$G:$G)-1),1)</definedName>
    <definedName name="RPTransactionTypes">OFFSET(Common_Control_Sheet!$H$2,0,0,MAX(1,COUNTA(Common_Control_Sheet!$H:$H)-1),1)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83" l="1"/>
  <c r="E3" i="283"/>
  <c r="E4" i="283"/>
  <c r="E5" i="283"/>
  <c r="E6" i="283"/>
  <c r="E7" i="283"/>
  <c r="E8" i="283"/>
  <c r="E9" i="283"/>
  <c r="E10" i="283"/>
  <c r="E11" i="283"/>
  <c r="E12" i="283"/>
  <c r="E13" i="283"/>
  <c r="E14" i="283"/>
  <c r="E15" i="283"/>
  <c r="E16" i="283"/>
  <c r="E17" i="283"/>
  <c r="E18" i="283"/>
  <c r="E19" i="283"/>
  <c r="E20" i="283"/>
  <c r="E21" i="283"/>
  <c r="E22" i="283"/>
  <c r="E23" i="283"/>
  <c r="E24" i="283"/>
  <c r="E25" i="283"/>
  <c r="E26" i="283"/>
  <c r="E27" i="283"/>
  <c r="E28" i="283"/>
  <c r="E29" i="283"/>
  <c r="E30" i="283"/>
  <c r="E31" i="283"/>
  <c r="E32" i="283"/>
  <c r="E33" i="283"/>
  <c r="E34" i="283"/>
  <c r="E35" i="283"/>
  <c r="E36" i="283"/>
  <c r="E37" i="283"/>
  <c r="E38" i="283"/>
  <c r="E39" i="283"/>
  <c r="E40" i="283"/>
  <c r="E41" i="283"/>
  <c r="E42" i="283"/>
  <c r="E43" i="283"/>
  <c r="E44" i="283"/>
  <c r="E45" i="283"/>
  <c r="E46" i="283"/>
  <c r="E47" i="283"/>
  <c r="E48" i="283"/>
  <c r="E49" i="283"/>
  <c r="E50" i="283"/>
  <c r="E51" i="283"/>
  <c r="E52" i="283"/>
  <c r="E53" i="283"/>
  <c r="E54" i="283"/>
  <c r="E55" i="283"/>
  <c r="E56" i="283"/>
  <c r="E57" i="283"/>
  <c r="E58" i="283"/>
  <c r="E59" i="283"/>
  <c r="E60" i="283"/>
  <c r="E61" i="283"/>
  <c r="E62" i="283"/>
  <c r="E63" i="283"/>
  <c r="E64" i="283"/>
  <c r="E65" i="283"/>
  <c r="E66" i="283"/>
  <c r="E67" i="283"/>
  <c r="E68" i="283"/>
  <c r="E69" i="283"/>
  <c r="E70" i="283"/>
  <c r="E71" i="283"/>
  <c r="E72" i="283"/>
  <c r="E73" i="283"/>
  <c r="E74" i="283"/>
  <c r="E75" i="283"/>
  <c r="E76" i="283"/>
  <c r="E77" i="283"/>
  <c r="E78" i="283"/>
  <c r="E79" i="283"/>
  <c r="E80" i="283"/>
  <c r="E81" i="283"/>
  <c r="E82" i="283"/>
  <c r="E83" i="283"/>
  <c r="E84" i="283"/>
  <c r="E85" i="283"/>
  <c r="E86" i="283"/>
  <c r="E87" i="283"/>
  <c r="E88" i="283"/>
  <c r="E89" i="283"/>
  <c r="E90" i="283"/>
  <c r="E91" i="283"/>
  <c r="E92" i="283"/>
  <c r="E93" i="283"/>
  <c r="E94" i="283"/>
  <c r="E95" i="283"/>
  <c r="E96" i="283"/>
  <c r="E97" i="283"/>
  <c r="E98" i="283"/>
  <c r="E99" i="283"/>
  <c r="E100" i="283"/>
  <c r="E101" i="283"/>
  <c r="E102" i="283"/>
  <c r="E103" i="283"/>
  <c r="E104" i="283"/>
  <c r="E105" i="283"/>
  <c r="E106" i="283"/>
  <c r="E107" i="283"/>
  <c r="E108" i="283"/>
  <c r="E109" i="283"/>
  <c r="E110" i="283"/>
  <c r="E111" i="283"/>
  <c r="E112" i="283"/>
  <c r="E113" i="283"/>
  <c r="E114" i="283"/>
  <c r="E115" i="283"/>
  <c r="E116" i="283"/>
  <c r="E117" i="283"/>
  <c r="E118" i="283"/>
  <c r="E119" i="283"/>
  <c r="E120" i="283"/>
  <c r="E121" i="283"/>
  <c r="E122" i="283"/>
  <c r="E123" i="283"/>
  <c r="E124" i="283"/>
  <c r="E125" i="283"/>
  <c r="E126" i="283"/>
  <c r="E127" i="283"/>
  <c r="E128" i="283"/>
  <c r="E129" i="283"/>
  <c r="E130" i="283"/>
  <c r="E131" i="283"/>
  <c r="E132" i="283"/>
  <c r="E133" i="283"/>
  <c r="E134" i="283"/>
  <c r="E135" i="283"/>
  <c r="E136" i="283"/>
  <c r="E137" i="283"/>
  <c r="E138" i="283"/>
  <c r="E139" i="283"/>
  <c r="E140" i="283"/>
  <c r="E141" i="283"/>
  <c r="E142" i="283"/>
  <c r="E143" i="283"/>
  <c r="E144" i="283"/>
  <c r="E145" i="283"/>
  <c r="E146" i="283"/>
  <c r="E147" i="283"/>
  <c r="E148" i="283"/>
  <c r="E149" i="283"/>
  <c r="E150" i="283"/>
  <c r="E151" i="283"/>
  <c r="E152" i="283"/>
  <c r="E153" i="283"/>
  <c r="E154" i="283"/>
  <c r="E155" i="283"/>
  <c r="E156" i="283"/>
  <c r="E157" i="283"/>
  <c r="E158" i="283"/>
  <c r="E159" i="283"/>
  <c r="E160" i="283"/>
  <c r="E161" i="283"/>
  <c r="E162" i="283"/>
  <c r="E163" i="283"/>
  <c r="E164" i="283"/>
  <c r="E165" i="283"/>
  <c r="E166" i="283"/>
  <c r="E167" i="283"/>
  <c r="E168" i="283"/>
  <c r="E169" i="283"/>
  <c r="E170" i="283"/>
  <c r="E171" i="283"/>
  <c r="E172" i="283"/>
  <c r="E173" i="283"/>
  <c r="E174" i="283"/>
  <c r="E175" i="283"/>
  <c r="E176" i="283"/>
  <c r="E177" i="283"/>
  <c r="E178" i="283"/>
  <c r="E179" i="283"/>
  <c r="E180" i="283"/>
  <c r="E181" i="283"/>
  <c r="E182" i="283"/>
  <c r="E183" i="283"/>
  <c r="E184" i="283"/>
  <c r="E185" i="283"/>
  <c r="E186" i="283"/>
  <c r="E187" i="283"/>
  <c r="E188" i="283"/>
  <c r="E189" i="283"/>
  <c r="E190" i="283"/>
  <c r="E191" i="283"/>
  <c r="E192" i="283"/>
  <c r="E193" i="283"/>
  <c r="E194" i="283"/>
  <c r="E195" i="283"/>
  <c r="E196" i="283"/>
  <c r="E197" i="283"/>
  <c r="E198" i="283"/>
  <c r="E199" i="283"/>
  <c r="E200" i="283"/>
  <c r="E201" i="283"/>
  <c r="E202" i="283"/>
  <c r="E203" i="283"/>
  <c r="E204" i="283"/>
  <c r="E205" i="283"/>
  <c r="E206" i="283"/>
  <c r="E207" i="283"/>
  <c r="E208" i="283"/>
  <c r="E209" i="283"/>
  <c r="E210" i="283"/>
  <c r="E211" i="283"/>
  <c r="E212" i="283"/>
  <c r="E213" i="283"/>
  <c r="E214" i="283"/>
  <c r="E215" i="283"/>
  <c r="E216" i="283"/>
  <c r="E217" i="283"/>
  <c r="E218" i="283"/>
  <c r="E219" i="283"/>
  <c r="E220" i="283"/>
  <c r="E221" i="283"/>
  <c r="E222" i="283"/>
  <c r="E223" i="283"/>
  <c r="E224" i="283"/>
  <c r="E225" i="283"/>
  <c r="E226" i="283"/>
  <c r="E227" i="283"/>
  <c r="E228" i="283"/>
  <c r="E229" i="283"/>
  <c r="E230" i="283"/>
  <c r="E231" i="283"/>
  <c r="E232" i="283"/>
  <c r="E233" i="283"/>
  <c r="E234" i="283"/>
  <c r="E235" i="283"/>
  <c r="E236" i="283"/>
  <c r="E237" i="283"/>
  <c r="E238" i="283"/>
  <c r="E239" i="283"/>
  <c r="E240" i="283"/>
  <c r="E241" i="283"/>
  <c r="E242" i="283"/>
  <c r="E243" i="283"/>
  <c r="E244" i="283"/>
  <c r="E245" i="283"/>
  <c r="E246" i="283"/>
  <c r="E247" i="283"/>
  <c r="E248" i="283"/>
  <c r="E249" i="283"/>
  <c r="E250" i="283"/>
  <c r="E251" i="283"/>
  <c r="E252" i="283"/>
  <c r="E253" i="283"/>
  <c r="E254" i="283"/>
  <c r="E255" i="283"/>
  <c r="E256" i="283"/>
  <c r="E257" i="283"/>
  <c r="E258" i="283"/>
  <c r="E259" i="283"/>
  <c r="E260" i="283"/>
  <c r="E261" i="283"/>
  <c r="E262" i="283"/>
  <c r="E263" i="283"/>
  <c r="E264" i="283"/>
  <c r="E265" i="283"/>
  <c r="E266" i="283"/>
  <c r="E267" i="283"/>
  <c r="E268" i="283"/>
  <c r="E269" i="283"/>
  <c r="E270" i="283"/>
  <c r="E271" i="283"/>
  <c r="E272" i="283"/>
  <c r="F17" i="301"/>
  <c r="F16" i="301"/>
  <c r="E16" i="301"/>
  <c r="D16" i="301"/>
  <c r="C16" i="301"/>
  <c r="B16" i="301"/>
  <c r="G16" i="301" s="1"/>
  <c r="F15" i="301"/>
  <c r="E15" i="301"/>
  <c r="D15" i="301"/>
  <c r="C15" i="301"/>
  <c r="B15" i="301"/>
  <c r="G15" i="301" s="1"/>
  <c r="G14" i="301"/>
  <c r="F14" i="301"/>
  <c r="E14" i="301"/>
  <c r="E17" i="301" s="1"/>
  <c r="D14" i="301"/>
  <c r="D17" i="301" s="1"/>
  <c r="C14" i="301"/>
  <c r="C17" i="301" s="1"/>
  <c r="B14" i="301"/>
  <c r="B17" i="301" s="1"/>
  <c r="F7" i="301"/>
  <c r="F6" i="301"/>
  <c r="E6" i="301"/>
  <c r="E7" i="301" s="1"/>
  <c r="D6" i="301"/>
  <c r="D7" i="301" s="1"/>
  <c r="C6" i="301"/>
  <c r="B6" i="301"/>
  <c r="G6" i="301" s="1"/>
  <c r="F5" i="301"/>
  <c r="E5" i="301"/>
  <c r="D5" i="301"/>
  <c r="C5" i="301"/>
  <c r="C7" i="301" s="1"/>
  <c r="B5" i="301"/>
  <c r="G5" i="301" s="1"/>
  <c r="B28" i="297"/>
  <c r="B25" i="297"/>
  <c r="B21" i="297"/>
  <c r="B18" i="297"/>
  <c r="B17" i="297"/>
  <c r="B16" i="297"/>
  <c r="B15" i="297"/>
  <c r="B12" i="297"/>
  <c r="B9" i="297"/>
  <c r="B8" i="297"/>
  <c r="B44" i="296"/>
  <c r="B43" i="296"/>
  <c r="B41" i="296"/>
  <c r="B40" i="296"/>
  <c r="B38" i="296"/>
  <c r="B32" i="296"/>
  <c r="B31" i="296"/>
  <c r="B22" i="296"/>
  <c r="B21" i="296"/>
  <c r="B20" i="296"/>
  <c r="B15" i="296"/>
  <c r="B13" i="296"/>
  <c r="B12" i="296"/>
  <c r="B11" i="296"/>
  <c r="C36" i="298"/>
  <c r="C37" i="298" s="1"/>
  <c r="B36" i="298"/>
  <c r="B37" i="298" s="1"/>
  <c r="C35" i="298"/>
  <c r="B35" i="298"/>
  <c r="C32" i="298"/>
  <c r="B32" i="298"/>
  <c r="C31" i="298"/>
  <c r="B31" i="298"/>
  <c r="C30" i="298"/>
  <c r="B30" i="298"/>
  <c r="C26" i="298"/>
  <c r="B26" i="298"/>
  <c r="C25" i="298"/>
  <c r="B25" i="298"/>
  <c r="C21" i="298"/>
  <c r="B21" i="298"/>
  <c r="C19" i="298"/>
  <c r="B19" i="298"/>
  <c r="C18" i="298"/>
  <c r="B18" i="298"/>
  <c r="C17" i="298"/>
  <c r="B17" i="298"/>
  <c r="C13" i="298"/>
  <c r="B13" i="298"/>
  <c r="C12" i="298"/>
  <c r="B12" i="298"/>
  <c r="C11" i="298"/>
  <c r="B11" i="298"/>
  <c r="D27" i="297"/>
  <c r="C27" i="297"/>
  <c r="D25" i="297"/>
  <c r="C25" i="297"/>
  <c r="D23" i="297"/>
  <c r="C23" i="297"/>
  <c r="D22" i="297"/>
  <c r="C22" i="297"/>
  <c r="D19" i="297"/>
  <c r="C19" i="297"/>
  <c r="D18" i="297"/>
  <c r="C18" i="297"/>
  <c r="D17" i="297"/>
  <c r="C17" i="297"/>
  <c r="D16" i="297"/>
  <c r="C16" i="297"/>
  <c r="D15" i="297"/>
  <c r="C15" i="297"/>
  <c r="D14" i="297"/>
  <c r="C14" i="297"/>
  <c r="D13" i="297"/>
  <c r="C13" i="297"/>
  <c r="D9" i="297"/>
  <c r="C9" i="297"/>
  <c r="D8" i="297"/>
  <c r="C8" i="297"/>
  <c r="D45" i="296"/>
  <c r="C45" i="296"/>
  <c r="D44" i="296"/>
  <c r="C44" i="296"/>
  <c r="D43" i="296"/>
  <c r="C43" i="296"/>
  <c r="D42" i="296"/>
  <c r="C42" i="296"/>
  <c r="D38" i="296"/>
  <c r="C38" i="296"/>
  <c r="D37" i="296"/>
  <c r="C37" i="296"/>
  <c r="D36" i="296"/>
  <c r="C36" i="296"/>
  <c r="D35" i="296"/>
  <c r="C35" i="296"/>
  <c r="D30" i="296"/>
  <c r="C30" i="296"/>
  <c r="D29" i="296"/>
  <c r="C29" i="296"/>
  <c r="D23" i="296"/>
  <c r="C23" i="296"/>
  <c r="D22" i="296"/>
  <c r="C22" i="296"/>
  <c r="D21" i="296"/>
  <c r="C21" i="296"/>
  <c r="D20" i="296"/>
  <c r="C20" i="296"/>
  <c r="D19" i="296"/>
  <c r="C19" i="296"/>
  <c r="D18" i="296"/>
  <c r="C18" i="296"/>
  <c r="D14" i="296"/>
  <c r="C14" i="296"/>
  <c r="D13" i="296"/>
  <c r="C13" i="296"/>
  <c r="D12" i="296"/>
  <c r="C12" i="296"/>
  <c r="D11" i="296"/>
  <c r="C11" i="296"/>
  <c r="D10" i="296"/>
  <c r="C10" i="296"/>
  <c r="F2" i="295"/>
  <c r="F3" i="295"/>
  <c r="F4" i="295"/>
  <c r="F5" i="295"/>
  <c r="F6" i="295"/>
  <c r="F7" i="295"/>
  <c r="F8" i="295"/>
  <c r="F9" i="295"/>
  <c r="F10" i="295"/>
  <c r="F11" i="295"/>
  <c r="F12" i="295"/>
  <c r="F13" i="295"/>
  <c r="F14" i="295"/>
  <c r="F15" i="295"/>
  <c r="F16" i="295"/>
  <c r="F17" i="295"/>
  <c r="F18" i="295"/>
  <c r="F19" i="295"/>
  <c r="F20" i="295"/>
  <c r="F21" i="295"/>
  <c r="F22" i="295"/>
  <c r="F23" i="295"/>
  <c r="F24" i="295"/>
  <c r="F25" i="295"/>
  <c r="F26" i="295"/>
  <c r="F27" i="295"/>
  <c r="F28" i="295"/>
  <c r="F29" i="295"/>
  <c r="F30" i="295"/>
  <c r="F31" i="295"/>
  <c r="F32" i="295"/>
  <c r="F33" i="295"/>
  <c r="F34" i="295"/>
  <c r="F35" i="295"/>
  <c r="F36" i="295"/>
  <c r="F37" i="295"/>
  <c r="F38" i="295"/>
  <c r="F39" i="295"/>
  <c r="F40" i="295"/>
  <c r="F41" i="295"/>
  <c r="F42" i="295"/>
  <c r="F43" i="295"/>
  <c r="F44" i="295"/>
  <c r="F45" i="295"/>
  <c r="F46" i="295"/>
  <c r="F47" i="295"/>
  <c r="F48" i="295"/>
  <c r="F49" i="295"/>
  <c r="F50" i="295"/>
  <c r="F51" i="295"/>
  <c r="F52" i="295"/>
  <c r="F53" i="295"/>
  <c r="F54" i="295"/>
  <c r="F55" i="295"/>
  <c r="F56" i="295"/>
  <c r="F57" i="295"/>
  <c r="F58" i="295"/>
  <c r="F59" i="295"/>
  <c r="F60" i="295"/>
  <c r="F61" i="295"/>
  <c r="F62" i="295"/>
  <c r="F63" i="295"/>
  <c r="F64" i="295"/>
  <c r="F65" i="295"/>
  <c r="F66" i="295"/>
  <c r="F67" i="295"/>
  <c r="F68" i="295"/>
  <c r="F69" i="295"/>
  <c r="I6" i="294"/>
  <c r="I7" i="294"/>
  <c r="I8" i="294"/>
  <c r="I9" i="294"/>
  <c r="I14" i="294"/>
  <c r="I15" i="294"/>
  <c r="I16" i="294"/>
  <c r="I17" i="294"/>
  <c r="I22" i="294"/>
  <c r="I23" i="294"/>
  <c r="I24" i="294"/>
  <c r="I25" i="294"/>
  <c r="I30" i="294"/>
  <c r="I31" i="294"/>
  <c r="I32" i="294"/>
  <c r="I33" i="294"/>
  <c r="I38" i="294"/>
  <c r="I39" i="294"/>
  <c r="I40" i="294"/>
  <c r="I41" i="294"/>
  <c r="I46" i="294"/>
  <c r="I47" i="294"/>
  <c r="I48" i="294"/>
  <c r="I49" i="294"/>
  <c r="F2" i="294"/>
  <c r="I2" i="294" s="1"/>
  <c r="F3" i="294"/>
  <c r="I3" i="294" s="1"/>
  <c r="F4" i="294"/>
  <c r="I4" i="294" s="1"/>
  <c r="F5" i="294"/>
  <c r="I5" i="294" s="1"/>
  <c r="F6" i="294"/>
  <c r="F7" i="294"/>
  <c r="F8" i="294"/>
  <c r="F9" i="294"/>
  <c r="F10" i="294"/>
  <c r="I10" i="294" s="1"/>
  <c r="F11" i="294"/>
  <c r="I11" i="294" s="1"/>
  <c r="F12" i="294"/>
  <c r="I12" i="294" s="1"/>
  <c r="F13" i="294"/>
  <c r="I13" i="294" s="1"/>
  <c r="F14" i="294"/>
  <c r="F15" i="294"/>
  <c r="F16" i="294"/>
  <c r="F17" i="294"/>
  <c r="F18" i="294"/>
  <c r="I18" i="294" s="1"/>
  <c r="F19" i="294"/>
  <c r="I19" i="294" s="1"/>
  <c r="F20" i="294"/>
  <c r="I20" i="294" s="1"/>
  <c r="F21" i="294"/>
  <c r="I21" i="294" s="1"/>
  <c r="F22" i="294"/>
  <c r="F23" i="294"/>
  <c r="F24" i="294"/>
  <c r="F25" i="294"/>
  <c r="F26" i="294"/>
  <c r="I26" i="294" s="1"/>
  <c r="F27" i="294"/>
  <c r="I27" i="294" s="1"/>
  <c r="F28" i="294"/>
  <c r="I28" i="294" s="1"/>
  <c r="F29" i="294"/>
  <c r="I29" i="294" s="1"/>
  <c r="F30" i="294"/>
  <c r="F31" i="294"/>
  <c r="F32" i="294"/>
  <c r="F33" i="294"/>
  <c r="F34" i="294"/>
  <c r="I34" i="294" s="1"/>
  <c r="F35" i="294"/>
  <c r="I35" i="294" s="1"/>
  <c r="F36" i="294"/>
  <c r="I36" i="294" s="1"/>
  <c r="F37" i="294"/>
  <c r="I37" i="294" s="1"/>
  <c r="F38" i="294"/>
  <c r="F39" i="294"/>
  <c r="F40" i="294"/>
  <c r="F41" i="294"/>
  <c r="F42" i="294"/>
  <c r="I42" i="294" s="1"/>
  <c r="F43" i="294"/>
  <c r="I43" i="294" s="1"/>
  <c r="F44" i="294"/>
  <c r="I44" i="294" s="1"/>
  <c r="F45" i="294"/>
  <c r="I45" i="294" s="1"/>
  <c r="F46" i="294"/>
  <c r="F47" i="294"/>
  <c r="F48" i="294"/>
  <c r="F49" i="294"/>
  <c r="F50" i="294"/>
  <c r="I50" i="294" s="1"/>
  <c r="F51" i="294"/>
  <c r="I51" i="294" s="1"/>
  <c r="I2" i="293"/>
  <c r="I3" i="293"/>
  <c r="I10" i="293"/>
  <c r="I11" i="293"/>
  <c r="I18" i="293"/>
  <c r="I19" i="293"/>
  <c r="I26" i="293"/>
  <c r="I27" i="293"/>
  <c r="I34" i="293"/>
  <c r="I35" i="293"/>
  <c r="I42" i="293"/>
  <c r="I43" i="293"/>
  <c r="I50" i="293"/>
  <c r="I51" i="293"/>
  <c r="H2" i="293"/>
  <c r="H3" i="293"/>
  <c r="H8" i="293"/>
  <c r="I8" i="293" s="1"/>
  <c r="H9" i="293"/>
  <c r="I9" i="293" s="1"/>
  <c r="H10" i="293"/>
  <c r="H11" i="293"/>
  <c r="H16" i="293"/>
  <c r="I16" i="293" s="1"/>
  <c r="H17" i="293"/>
  <c r="I17" i="293" s="1"/>
  <c r="H18" i="293"/>
  <c r="H19" i="293"/>
  <c r="H24" i="293"/>
  <c r="I24" i="293" s="1"/>
  <c r="H25" i="293"/>
  <c r="I25" i="293" s="1"/>
  <c r="H26" i="293"/>
  <c r="H27" i="293"/>
  <c r="H32" i="293"/>
  <c r="I32" i="293" s="1"/>
  <c r="H33" i="293"/>
  <c r="I33" i="293" s="1"/>
  <c r="H34" i="293"/>
  <c r="H35" i="293"/>
  <c r="H40" i="293"/>
  <c r="I40" i="293" s="1"/>
  <c r="H41" i="293"/>
  <c r="I41" i="293" s="1"/>
  <c r="H42" i="293"/>
  <c r="H43" i="293"/>
  <c r="H48" i="293"/>
  <c r="I48" i="293" s="1"/>
  <c r="H49" i="293"/>
  <c r="I49" i="293" s="1"/>
  <c r="H50" i="293"/>
  <c r="H51" i="293"/>
  <c r="F2" i="293"/>
  <c r="F3" i="293"/>
  <c r="F4" i="293"/>
  <c r="H4" i="293" s="1"/>
  <c r="I4" i="293" s="1"/>
  <c r="F5" i="293"/>
  <c r="H5" i="293" s="1"/>
  <c r="I5" i="293" s="1"/>
  <c r="F6" i="293"/>
  <c r="H6" i="293" s="1"/>
  <c r="I6" i="293" s="1"/>
  <c r="F7" i="293"/>
  <c r="H7" i="293" s="1"/>
  <c r="I7" i="293" s="1"/>
  <c r="F8" i="293"/>
  <c r="F9" i="293"/>
  <c r="F10" i="293"/>
  <c r="F11" i="293"/>
  <c r="F12" i="293"/>
  <c r="H12" i="293" s="1"/>
  <c r="I12" i="293" s="1"/>
  <c r="F13" i="293"/>
  <c r="H13" i="293" s="1"/>
  <c r="I13" i="293" s="1"/>
  <c r="F14" i="293"/>
  <c r="H14" i="293" s="1"/>
  <c r="I14" i="293" s="1"/>
  <c r="F15" i="293"/>
  <c r="H15" i="293" s="1"/>
  <c r="I15" i="293" s="1"/>
  <c r="F16" i="293"/>
  <c r="F17" i="293"/>
  <c r="F18" i="293"/>
  <c r="F19" i="293"/>
  <c r="F20" i="293"/>
  <c r="H20" i="293" s="1"/>
  <c r="I20" i="293" s="1"/>
  <c r="F21" i="293"/>
  <c r="H21" i="293" s="1"/>
  <c r="I21" i="293" s="1"/>
  <c r="F22" i="293"/>
  <c r="H22" i="293" s="1"/>
  <c r="I22" i="293" s="1"/>
  <c r="F23" i="293"/>
  <c r="H23" i="293" s="1"/>
  <c r="I23" i="293" s="1"/>
  <c r="F24" i="293"/>
  <c r="F25" i="293"/>
  <c r="F26" i="293"/>
  <c r="F27" i="293"/>
  <c r="F28" i="293"/>
  <c r="H28" i="293" s="1"/>
  <c r="I28" i="293" s="1"/>
  <c r="F29" i="293"/>
  <c r="H29" i="293" s="1"/>
  <c r="I29" i="293" s="1"/>
  <c r="F30" i="293"/>
  <c r="H30" i="293" s="1"/>
  <c r="I30" i="293" s="1"/>
  <c r="F31" i="293"/>
  <c r="H31" i="293" s="1"/>
  <c r="I31" i="293" s="1"/>
  <c r="F32" i="293"/>
  <c r="F33" i="293"/>
  <c r="F34" i="293"/>
  <c r="F35" i="293"/>
  <c r="F36" i="293"/>
  <c r="H36" i="293" s="1"/>
  <c r="I36" i="293" s="1"/>
  <c r="F37" i="293"/>
  <c r="H37" i="293" s="1"/>
  <c r="I37" i="293" s="1"/>
  <c r="F38" i="293"/>
  <c r="H38" i="293" s="1"/>
  <c r="I38" i="293" s="1"/>
  <c r="F39" i="293"/>
  <c r="H39" i="293" s="1"/>
  <c r="I39" i="293" s="1"/>
  <c r="F40" i="293"/>
  <c r="F41" i="293"/>
  <c r="F42" i="293"/>
  <c r="F43" i="293"/>
  <c r="F44" i="293"/>
  <c r="H44" i="293" s="1"/>
  <c r="I44" i="293" s="1"/>
  <c r="F45" i="293"/>
  <c r="H45" i="293" s="1"/>
  <c r="I45" i="293" s="1"/>
  <c r="F46" i="293"/>
  <c r="H46" i="293" s="1"/>
  <c r="I46" i="293" s="1"/>
  <c r="F47" i="293"/>
  <c r="H47" i="293" s="1"/>
  <c r="I47" i="293" s="1"/>
  <c r="F48" i="293"/>
  <c r="F49" i="293"/>
  <c r="F50" i="293"/>
  <c r="F51" i="293"/>
  <c r="E13" i="287"/>
  <c r="B12" i="287"/>
  <c r="B14" i="286"/>
  <c r="C6" i="286"/>
  <c r="B6" i="286"/>
  <c r="C16" i="284"/>
  <c r="E9" i="284"/>
  <c r="D9" i="284"/>
  <c r="E8" i="284"/>
  <c r="E10" i="284" s="1"/>
  <c r="D8" i="284"/>
  <c r="D10" i="284" s="1"/>
  <c r="C10" i="284"/>
  <c r="B10" i="284"/>
  <c r="C15" i="284" s="1"/>
  <c r="E3" i="284"/>
  <c r="D3" i="284"/>
  <c r="D31" i="296" l="1"/>
  <c r="B33" i="298"/>
  <c r="C33" i="298"/>
  <c r="C10" i="297"/>
  <c r="D20" i="297"/>
  <c r="D10" i="297"/>
  <c r="C15" i="296"/>
  <c r="C39" i="296"/>
  <c r="C46" i="296"/>
  <c r="C47" i="296" s="1"/>
  <c r="D39" i="296"/>
  <c r="D24" i="296"/>
  <c r="D25" i="296" s="1"/>
  <c r="D46" i="296"/>
  <c r="D47" i="296" s="1"/>
  <c r="B20" i="298"/>
  <c r="B22" i="298" s="1"/>
  <c r="C20" i="298"/>
  <c r="C22" i="298" s="1"/>
  <c r="C24" i="297"/>
  <c r="C26" i="297" s="1"/>
  <c r="D15" i="296"/>
  <c r="C31" i="296"/>
  <c r="D24" i="297"/>
  <c r="D26" i="297" s="1"/>
  <c r="D28" i="297" s="1"/>
  <c r="C27" i="298"/>
  <c r="B27" i="298"/>
  <c r="C14" i="298"/>
  <c r="B14" i="298"/>
  <c r="C24" i="296"/>
  <c r="C25" i="296" s="1"/>
  <c r="C20" i="297"/>
  <c r="G7" i="301"/>
  <c r="G17" i="301"/>
  <c r="B7" i="301"/>
  <c r="C9" i="298" l="1"/>
  <c r="C28" i="297"/>
  <c r="B9" i="298"/>
</calcChain>
</file>

<file path=xl/sharedStrings.xml><?xml version="1.0" encoding="utf-8"?>
<sst xmlns="http://schemas.openxmlformats.org/spreadsheetml/2006/main" count="1712" uniqueCount="769">
  <si>
    <t>Entity Name:</t>
  </si>
  <si>
    <t>Address:</t>
  </si>
  <si>
    <t>CIN No.:</t>
  </si>
  <si>
    <t>Financial Year - Start:</t>
  </si>
  <si>
    <t>Financial Year - End:</t>
  </si>
  <si>
    <t>Currency:</t>
  </si>
  <si>
    <t>Units:</t>
  </si>
  <si>
    <t>Numbers Format:</t>
  </si>
  <si>
    <t>Negative Colour:</t>
  </si>
  <si>
    <t>Default Font:</t>
  </si>
  <si>
    <t>Default Font Size:</t>
  </si>
  <si>
    <t>[User Input]</t>
  </si>
  <si>
    <t>INR</t>
  </si>
  <si>
    <t>Millions</t>
  </si>
  <si>
    <t>Accounting</t>
  </si>
  <si>
    <t>Brackets</t>
  </si>
  <si>
    <t>Bookman Old Style</t>
  </si>
  <si>
    <t>Control List: Major Heads</t>
  </si>
  <si>
    <t>Control List: Minor Heads</t>
  </si>
  <si>
    <t>Control List: Grouping</t>
  </si>
  <si>
    <t>Control List: Accounting Policies</t>
  </si>
  <si>
    <t>Control List: Related Parties</t>
  </si>
  <si>
    <t>Control List: RP Txn Types</t>
  </si>
  <si>
    <t>Property, Plant and Equipment</t>
  </si>
  <si>
    <t>Intangible Assets</t>
  </si>
  <si>
    <t>Non-current Investments</t>
  </si>
  <si>
    <t>Long-term Loans and Advances</t>
  </si>
  <si>
    <t>Other Non-current Assets</t>
  </si>
  <si>
    <t>Current Investments</t>
  </si>
  <si>
    <t>Inventories</t>
  </si>
  <si>
    <t>Trade Receivables</t>
  </si>
  <si>
    <t>Cash and Cash Equivalents</t>
  </si>
  <si>
    <t>Short-term Loans and Advances</t>
  </si>
  <si>
    <t>Other Current Assets</t>
  </si>
  <si>
    <t>Equity Share Capital</t>
  </si>
  <si>
    <t>Other Equity</t>
  </si>
  <si>
    <t>Long-term Borrowings</t>
  </si>
  <si>
    <t>Deferred Tax Liabilities (Net)</t>
  </si>
  <si>
    <t>Other Long-term Liabilities</t>
  </si>
  <si>
    <t>Long-term Provisions</t>
  </si>
  <si>
    <t>Short-term Borrowings</t>
  </si>
  <si>
    <t>Trade Payables</t>
  </si>
  <si>
    <t>Other Current Liabilities</t>
  </si>
  <si>
    <t>Short-term Provisions</t>
  </si>
  <si>
    <t>Revenue from Operations</t>
  </si>
  <si>
    <t>Other Income</t>
  </si>
  <si>
    <t>Cost of Materials Consumed</t>
  </si>
  <si>
    <t>Purchases of Stock-in-Trade</t>
  </si>
  <si>
    <t>Changes in Inventories</t>
  </si>
  <si>
    <t>Employee Benefits Expense</t>
  </si>
  <si>
    <t>Finance Costs</t>
  </si>
  <si>
    <t>Depreciation and Amortization</t>
  </si>
  <si>
    <t>Other Expenses</t>
  </si>
  <si>
    <t>Exceptional Items</t>
  </si>
  <si>
    <t>Extraordinary Items</t>
  </si>
  <si>
    <t>Taxes on Income</t>
  </si>
  <si>
    <t>Prior Period Items</t>
  </si>
  <si>
    <t>Tangible Assets</t>
  </si>
  <si>
    <t>Financial Assets - Investments</t>
  </si>
  <si>
    <t>Financial Assets - Loans</t>
  </si>
  <si>
    <t>Financial Assets - Trade Receivables</t>
  </si>
  <si>
    <t>Other financial assets</t>
  </si>
  <si>
    <t>Financial Liabilities - Borrowings</t>
  </si>
  <si>
    <t>Provisions</t>
  </si>
  <si>
    <t>Other financial liabilities</t>
  </si>
  <si>
    <t>Financial Liabilities - Trade Payables</t>
  </si>
  <si>
    <t>Changes in inventories of finished goods, work-in-progress and Stock-in-Trade</t>
  </si>
  <si>
    <t>Employee Benefit Expense</t>
  </si>
  <si>
    <t>Depreciation and Amortization Expense</t>
  </si>
  <si>
    <t>Building</t>
  </si>
  <si>
    <t>Plant and Machinery</t>
  </si>
  <si>
    <t>Goodwill</t>
  </si>
  <si>
    <t>Patents, Copyrights, Trademarks</t>
  </si>
  <si>
    <t>Retained Earnings</t>
  </si>
  <si>
    <t>Sale of services</t>
  </si>
  <si>
    <t>Revenue recognition (AS 9)</t>
  </si>
  <si>
    <t>Property, Plant and Equipment (PPE) (AS 10)</t>
  </si>
  <si>
    <t>Intangible assets (AS 26)</t>
  </si>
  <si>
    <t>Impairment of assets (AS 28)</t>
  </si>
  <si>
    <t>Inventories valuation (AS 2)</t>
  </si>
  <si>
    <t>Investments (AS 13)</t>
  </si>
  <si>
    <t>Foreign currency transactions (AS 11)</t>
  </si>
  <si>
    <t>Employee benefits (AS 15)</t>
  </si>
  <si>
    <t>Borrowing costs (AS 16)</t>
  </si>
  <si>
    <t>Provisions and contingencies (AS 29)</t>
  </si>
  <si>
    <t>Taxes on income (AS 22)</t>
  </si>
  <si>
    <t>Government grants (AS 12)</t>
  </si>
  <si>
    <t>Leases (AS 19)</t>
  </si>
  <si>
    <t>Segment reporting (AS 17)</t>
  </si>
  <si>
    <t>Cash flow statement (AS 3)</t>
  </si>
  <si>
    <t>Holding company</t>
  </si>
  <si>
    <t>Subsidiaries</t>
  </si>
  <si>
    <t>Associates</t>
  </si>
  <si>
    <t>Joint ventures</t>
  </si>
  <si>
    <t>Key management personnel (KMP)</t>
  </si>
  <si>
    <t>Relatives of KMP</t>
  </si>
  <si>
    <t>Entities controlled by KMP</t>
  </si>
  <si>
    <t>Sale of goods</t>
  </si>
  <si>
    <t>Purchase of goods</t>
  </si>
  <si>
    <t>Purchase of services</t>
  </si>
  <si>
    <t>Remuneration to KMP</t>
  </si>
  <si>
    <t>Rent paid</t>
  </si>
  <si>
    <t>Rent received</t>
  </si>
  <si>
    <t>Dividend paid</t>
  </si>
  <si>
    <t>Dividend received</t>
  </si>
  <si>
    <t>Interest paid</t>
  </si>
  <si>
    <t>Interest received</t>
  </si>
  <si>
    <t>Loan given</t>
  </si>
  <si>
    <t>Loan taken</t>
  </si>
  <si>
    <t>Ledger Name</t>
  </si>
  <si>
    <t>Opening Balance (CY)</t>
  </si>
  <si>
    <t>Debit (CY)</t>
  </si>
  <si>
    <t>Credit (CY)</t>
  </si>
  <si>
    <t>Closing Balance (CY)</t>
  </si>
  <si>
    <t>Closing Balance (PY)</t>
  </si>
  <si>
    <t>Type (BS/PL)</t>
  </si>
  <si>
    <t>Major Head</t>
  </si>
  <si>
    <t>Minor Head</t>
  </si>
  <si>
    <t>Grouping</t>
  </si>
  <si>
    <t>Authorised Capital</t>
  </si>
  <si>
    <t>Class of Share</t>
  </si>
  <si>
    <t>Number of Shares</t>
  </si>
  <si>
    <t>Face Value</t>
  </si>
  <si>
    <t>Amount (CY)</t>
  </si>
  <si>
    <t>Amount (PY)</t>
  </si>
  <si>
    <t>Equity Shares</t>
  </si>
  <si>
    <t>Reconciliation of Shares Outstanding</t>
  </si>
  <si>
    <t>Particulars</t>
  </si>
  <si>
    <t>Number of Shares (CY)</t>
  </si>
  <si>
    <t>Number of Shares (PY)</t>
  </si>
  <si>
    <t>Opening Balance</t>
  </si>
  <si>
    <t>Shares issued during the year</t>
  </si>
  <si>
    <t>Closing Balance</t>
  </si>
  <si>
    <t>Shareholders holding more than 5% of shares</t>
  </si>
  <si>
    <t>Name of Shareholder</t>
  </si>
  <si>
    <t>No. of Shares (CY)</t>
  </si>
  <si>
    <t>% Holding (CY)</t>
  </si>
  <si>
    <t>No. of Shares (PY)</t>
  </si>
  <si>
    <t>Asset Class</t>
  </si>
  <si>
    <t>Opening Gross Block</t>
  </si>
  <si>
    <t>Additions</t>
  </si>
  <si>
    <t>Disposals (Gross)</t>
  </si>
  <si>
    <t>Opening Acc. Depreciation</t>
  </si>
  <si>
    <t>Depreciation for Year</t>
  </si>
  <si>
    <t>Acc. Depr. on Disposals</t>
  </si>
  <si>
    <t>Part A: CWIP Movement</t>
  </si>
  <si>
    <t>Additions during the year</t>
  </si>
  <si>
    <t>Capitalized during the year</t>
  </si>
  <si>
    <t>Part B: Aging of Closing CWIP Balance (CY)</t>
  </si>
  <si>
    <t>Aging Bucket</t>
  </si>
  <si>
    <t>Amount</t>
  </si>
  <si>
    <t>&lt; 1 Year</t>
  </si>
  <si>
    <t>1-2 Years</t>
  </si>
  <si>
    <t>2-3 Years</t>
  </si>
  <si>
    <t>&gt; 3 Years</t>
  </si>
  <si>
    <t>Total</t>
  </si>
  <si>
    <t>Part A: Intangible Assets (Completed)</t>
  </si>
  <si>
    <t>Opening Acc. Amortization</t>
  </si>
  <si>
    <t>Amortization for Year</t>
  </si>
  <si>
    <t>Acc. Amort. on Disposals</t>
  </si>
  <si>
    <t>Part B: Intangible Assets under Development</t>
  </si>
  <si>
    <t>Aging of Closing Balance (CY)</t>
  </si>
  <si>
    <t>Movement</t>
  </si>
  <si>
    <t>Capitalized/Transferred</t>
  </si>
  <si>
    <t>Investment Particulars</t>
  </si>
  <si>
    <t>Classification</t>
  </si>
  <si>
    <t>Cost (CY)</t>
  </si>
  <si>
    <t>Cost (PY)</t>
  </si>
  <si>
    <t>Defined Contribution Plan (Amounts recognized in P&amp;L)</t>
  </si>
  <si>
    <t>Employer's Contribution to Provident Fund</t>
  </si>
  <si>
    <t>Current Year</t>
  </si>
  <si>
    <t>Previous Year</t>
  </si>
  <si>
    <t>Defined Benefit Plan - Gratuity (Unfunded)</t>
  </si>
  <si>
    <t>Net Employee Benefit Expense (Recognised in P&amp;L)</t>
  </si>
  <si>
    <t>Current Service Cost</t>
  </si>
  <si>
    <t>Interest Cost</t>
  </si>
  <si>
    <t>Actuarial (gain) / loss</t>
  </si>
  <si>
    <t>Balance Sheet Reconciliation</t>
  </si>
  <si>
    <t>Present value of obligation</t>
  </si>
  <si>
    <t>Plan assets</t>
  </si>
  <si>
    <t>Components of Tax Expense</t>
  </si>
  <si>
    <t>Current Tax</t>
  </si>
  <si>
    <t>Deferred Tax</t>
  </si>
  <si>
    <t>Tax Reconciliation (Current Year)</t>
  </si>
  <si>
    <t>Applicable Tax Rate (%)</t>
  </si>
  <si>
    <t>Tax effect of non-deductible expenses</t>
  </si>
  <si>
    <t>Tax effect of other differences</t>
  </si>
  <si>
    <t>Related Party Name</t>
  </si>
  <si>
    <t>Relationship</t>
  </si>
  <si>
    <t>Transaction Type</t>
  </si>
  <si>
    <t>Balance Outstanding (CY)</t>
  </si>
  <si>
    <t>Balance Outstanding (PY)</t>
  </si>
  <si>
    <t>Type</t>
  </si>
  <si>
    <t>Customer Name</t>
  </si>
  <si>
    <t>Invoice No.</t>
  </si>
  <si>
    <t>Invoice Date</t>
  </si>
  <si>
    <t>Invoice Amount</t>
  </si>
  <si>
    <t>Amount Settled</t>
  </si>
  <si>
    <t>Outstanding Amount</t>
  </si>
  <si>
    <t>Disputed (Yes/No)</t>
  </si>
  <si>
    <t>Days Outstanding</t>
  </si>
  <si>
    <t>Note Ref</t>
  </si>
  <si>
    <t>Note/Schedule Description</t>
  </si>
  <si>
    <t>Linked Major Head</t>
  </si>
  <si>
    <t>System Rec. (Y/N)</t>
  </si>
  <si>
    <t>User Selection (Y/N)</t>
  </si>
  <si>
    <t>Final (Y/N)</t>
  </si>
  <si>
    <t>Auto-Number</t>
  </si>
  <si>
    <t>A</t>
  </si>
  <si>
    <t>General notes and policies (mandatory)</t>
  </si>
  <si>
    <t>A.1</t>
  </si>
  <si>
    <t>Corporate information and basis of preparation</t>
  </si>
  <si>
    <t>A.2</t>
  </si>
  <si>
    <t>Significant accounting policies</t>
  </si>
  <si>
    <t>A.2.1</t>
  </si>
  <si>
    <t>A.2.2</t>
  </si>
  <si>
    <t>Property, Plant and Equipment (PPE) and depreciation (AS 10)</t>
  </si>
  <si>
    <t>A.2.3</t>
  </si>
  <si>
    <t>Intangible assets and amortization (AS 26)</t>
  </si>
  <si>
    <t>A.2.4</t>
  </si>
  <si>
    <t>A.2.5</t>
  </si>
  <si>
    <t>Inventories valuation and cost formula (AS 2)</t>
  </si>
  <si>
    <t>A.2.6</t>
  </si>
  <si>
    <t>Investments classification and valuation (AS 13)</t>
  </si>
  <si>
    <t>A.2.7</t>
  </si>
  <si>
    <t>Foreign currency transactions and translation (AS 11)</t>
  </si>
  <si>
    <t>A.2.8</t>
  </si>
  <si>
    <t>A.2.9</t>
  </si>
  <si>
    <t>Borrowing costs and capitalization policy (AS 16)</t>
  </si>
  <si>
    <t>A.2.10</t>
  </si>
  <si>
    <t>Provisions, contingent liabilities, contingent assets (AS 29)</t>
  </si>
  <si>
    <t>A.2.11</t>
  </si>
  <si>
    <t>Taxes on income (current/deferred; AS 22)</t>
  </si>
  <si>
    <t>A.2.12</t>
  </si>
  <si>
    <t>A.2.13</t>
  </si>
  <si>
    <t>Construction contracts revenue (AS 7)</t>
  </si>
  <si>
    <t>A.2.14</t>
  </si>
  <si>
    <t>Leases classification (AS 19)</t>
  </si>
  <si>
    <t>A.2.15</t>
  </si>
  <si>
    <t>Segment reporting basis (AS 17)</t>
  </si>
  <si>
    <t>A.2.16</t>
  </si>
  <si>
    <t>Cash and cash equivalents definition (AS 3)</t>
  </si>
  <si>
    <t>B</t>
  </si>
  <si>
    <t>Equity and liabilities notes</t>
  </si>
  <si>
    <t>B.1</t>
  </si>
  <si>
    <t>Share capital</t>
  </si>
  <si>
    <t>B.2</t>
  </si>
  <si>
    <t>Reserves and surplus / other equity</t>
  </si>
  <si>
    <t>B.3</t>
  </si>
  <si>
    <t>Long-term and short-term borrowings</t>
  </si>
  <si>
    <t>B.4</t>
  </si>
  <si>
    <t>Trade payables</t>
  </si>
  <si>
    <t>B.5</t>
  </si>
  <si>
    <t>Other financial liabilities and provisions</t>
  </si>
  <si>
    <t>B.6</t>
  </si>
  <si>
    <t>Other non-financial liabilities</t>
  </si>
  <si>
    <t>B.7</t>
  </si>
  <si>
    <t>Employee benefit obligations (AS 15)</t>
  </si>
  <si>
    <t>C</t>
  </si>
  <si>
    <t>Assets notes</t>
  </si>
  <si>
    <t>C.1</t>
  </si>
  <si>
    <t>Property, plant and equipment (AS 10 + Schedule III)</t>
  </si>
  <si>
    <t>C.2</t>
  </si>
  <si>
    <t>Capital work-in-progress (CWIP)</t>
  </si>
  <si>
    <t>C.3</t>
  </si>
  <si>
    <t>Intangible assets and Intangible assets under development</t>
  </si>
  <si>
    <t>C.4</t>
  </si>
  <si>
    <t>C.5</t>
  </si>
  <si>
    <t>Inventories (AS 2)</t>
  </si>
  <si>
    <t>C.6</t>
  </si>
  <si>
    <t>Trade receivables</t>
  </si>
  <si>
    <t>C.7</t>
  </si>
  <si>
    <t>Cash and cash equivalents</t>
  </si>
  <si>
    <t>C.8</t>
  </si>
  <si>
    <t>Loans, advances, and other assets</t>
  </si>
  <si>
    <t>D</t>
  </si>
  <si>
    <t>Profit and Loss notes</t>
  </si>
  <si>
    <t>D.1</t>
  </si>
  <si>
    <t>Revenue from operations (AS 9)</t>
  </si>
  <si>
    <t>D.2</t>
  </si>
  <si>
    <t>Other income</t>
  </si>
  <si>
    <t>D.3</t>
  </si>
  <si>
    <t>Cost of materials consumed; Purchases; Changes in inventories</t>
  </si>
  <si>
    <t>D.4</t>
  </si>
  <si>
    <t>Employee benefits expense (AS 15)</t>
  </si>
  <si>
    <t>D.5</t>
  </si>
  <si>
    <t>Finance costs (AS 16)</t>
  </si>
  <si>
    <t>D.6</t>
  </si>
  <si>
    <t>Depreciation and amortization expense</t>
  </si>
  <si>
    <t>D.7</t>
  </si>
  <si>
    <t>Other expenses (incl. CSR, Auditor Payments)</t>
  </si>
  <si>
    <t>D.8</t>
  </si>
  <si>
    <t>Exceptional items and extraordinary items (AS 5)</t>
  </si>
  <si>
    <t>D.9</t>
  </si>
  <si>
    <t>Prior period items disclosure (AS 5)</t>
  </si>
  <si>
    <t>D.10</t>
  </si>
  <si>
    <t>Earnings per share (AS 20)</t>
  </si>
  <si>
    <t>D.11</t>
  </si>
  <si>
    <t>Income taxes (AS 22)</t>
  </si>
  <si>
    <t>E</t>
  </si>
  <si>
    <t>AS-specific and cross-cutting disclosures</t>
  </si>
  <si>
    <t>E.1</t>
  </si>
  <si>
    <t>AS 3 Cash Flow Statement details</t>
  </si>
  <si>
    <t>E.2</t>
  </si>
  <si>
    <t>E.3</t>
  </si>
  <si>
    <t>AS 18 Related party disclosures</t>
  </si>
  <si>
    <t>E.4</t>
  </si>
  <si>
    <t>AS 19 Leases</t>
  </si>
  <si>
    <t>E.5</t>
  </si>
  <si>
    <t>Contingent Liabilities and Commitments (AS 29)</t>
  </si>
  <si>
    <t>F</t>
  </si>
  <si>
    <t>Additional Schedule III (2021) Disclosures</t>
  </si>
  <si>
    <t>F.1</t>
  </si>
  <si>
    <t>Utilization of borrowed funds and share premium</t>
  </si>
  <si>
    <t>F.2</t>
  </si>
  <si>
    <t>Title deeds of immovable properties not in company’s name</t>
  </si>
  <si>
    <t>F.3</t>
  </si>
  <si>
    <t>Proceedings for Benami property</t>
  </si>
  <si>
    <t>F.4</t>
  </si>
  <si>
    <t>Wilful defaulter status</t>
  </si>
  <si>
    <t>F.5</t>
  </si>
  <si>
    <t>Relationship with struck-off companies</t>
  </si>
  <si>
    <t>F.6</t>
  </si>
  <si>
    <t>Crypto/virtual currency holdings</t>
  </si>
  <si>
    <t>F.7</t>
  </si>
  <si>
    <t>Undisclosed income surrendered in tax assessments</t>
  </si>
  <si>
    <t>F.8</t>
  </si>
  <si>
    <t>Ratios with variance &gt;25% explanations</t>
  </si>
  <si>
    <t>F.9</t>
  </si>
  <si>
    <t>Aging schedules: Receivables, Payables, CWIP, Intangibles under dev.</t>
  </si>
  <si>
    <t>F.10</t>
  </si>
  <si>
    <t>Unspent CSR amounts</t>
  </si>
  <si>
    <t>G</t>
  </si>
  <si>
    <t>Other Statutory Disclosures</t>
  </si>
  <si>
    <t>G.1</t>
  </si>
  <si>
    <t>Managerial remuneration (Section 197)</t>
  </si>
  <si>
    <t>G.2</t>
  </si>
  <si>
    <t>MSME Disclosures (Principal and Interest due)</t>
  </si>
  <si>
    <t>Note No.</t>
  </si>
  <si>
    <t>Figures as at the end of current reporting period</t>
  </si>
  <si>
    <t>Figures as at the end of previous reporting period</t>
  </si>
  <si>
    <t>I. ASSETS</t>
  </si>
  <si>
    <t>(1) Non-current assets</t>
  </si>
  <si>
    <t xml:space="preserve">   (a) Property, Plant and Equipment</t>
  </si>
  <si>
    <t xml:space="preserve">   (b) Intangible assets</t>
  </si>
  <si>
    <t xml:space="preserve">   (c) Non-current investments</t>
  </si>
  <si>
    <t xml:space="preserve">   (d) Long-term loans and advances</t>
  </si>
  <si>
    <t xml:space="preserve">   (e) Other non-current assets</t>
  </si>
  <si>
    <t>Total Non-current assets</t>
  </si>
  <si>
    <t>(2) Current assets</t>
  </si>
  <si>
    <t xml:space="preserve">   (a) Current investments</t>
  </si>
  <si>
    <t xml:space="preserve">   (b) Inventories</t>
  </si>
  <si>
    <t xml:space="preserve">   (c) Trade receivables</t>
  </si>
  <si>
    <t xml:space="preserve">   (d) Cash and cash equivalents</t>
  </si>
  <si>
    <t xml:space="preserve">   (e) Short-term loans and advances</t>
  </si>
  <si>
    <t xml:space="preserve">   (f) Other current assets</t>
  </si>
  <si>
    <t>Total Current assets</t>
  </si>
  <si>
    <t>TOTAL ASSETS</t>
  </si>
  <si>
    <t>II. EQUITY AND LIABILITIES</t>
  </si>
  <si>
    <t>(1) Equity</t>
  </si>
  <si>
    <t xml:space="preserve">   (a) Equity Share Capital</t>
  </si>
  <si>
    <t xml:space="preserve">   (b) Other Equity</t>
  </si>
  <si>
    <t>Total Equity</t>
  </si>
  <si>
    <t>(2) Liabilities</t>
  </si>
  <si>
    <t>Non-current liabilities</t>
  </si>
  <si>
    <t xml:space="preserve">   (a) Long-term borrowings</t>
  </si>
  <si>
    <t xml:space="preserve">   (b) Deferred tax liabilities (Net)</t>
  </si>
  <si>
    <t xml:space="preserve">   (c) Other long-term liabilities</t>
  </si>
  <si>
    <t xml:space="preserve">   (d) Long-term provisions</t>
  </si>
  <si>
    <t>Total Non-current liabilities</t>
  </si>
  <si>
    <t>Current liabilities</t>
  </si>
  <si>
    <t xml:space="preserve">   (a) Short-term borrowings</t>
  </si>
  <si>
    <t xml:space="preserve">   (b) Trade payables</t>
  </si>
  <si>
    <t xml:space="preserve">   (c) Other current liabilities</t>
  </si>
  <si>
    <t xml:space="preserve">   (d) Short-term provisions</t>
  </si>
  <si>
    <t>Total Current liabilities</t>
  </si>
  <si>
    <t>TOTAL EQUITY AND LIABILITIES</t>
  </si>
  <si>
    <t>Figures for the current reporting period</t>
  </si>
  <si>
    <t>Figures for the previous reporting period</t>
  </si>
  <si>
    <t>I. Revenue from operations</t>
  </si>
  <si>
    <t>II. Other income</t>
  </si>
  <si>
    <t>III. Total Income</t>
  </si>
  <si>
    <t>IV. EXPENSES</t>
  </si>
  <si>
    <t xml:space="preserve">   Cost of materials consumed</t>
  </si>
  <si>
    <t xml:space="preserve">   Purchases of Stock-in-Trade</t>
  </si>
  <si>
    <t xml:space="preserve">   Changes in inventories of finished goods, work-in-progress and Stock-in-Trade</t>
  </si>
  <si>
    <t xml:space="preserve">   Employee benefits expense</t>
  </si>
  <si>
    <t xml:space="preserve">   Finance costs</t>
  </si>
  <si>
    <t xml:space="preserve">   Depreciation and amortization expense</t>
  </si>
  <si>
    <t xml:space="preserve">   Other expenses</t>
  </si>
  <si>
    <t>Total expenses</t>
  </si>
  <si>
    <t>V. Profit before exceptional and extraordinary items and tax (III - IV)</t>
  </si>
  <si>
    <t>VI. Exceptional items</t>
  </si>
  <si>
    <t>VII. Profit before extraordinary items and tax (V - VI)</t>
  </si>
  <si>
    <t>VIII. Extraordinary Items</t>
  </si>
  <si>
    <t>IX. Profit before tax (VII - VIII)</t>
  </si>
  <si>
    <t>X. Tax expense:</t>
  </si>
  <si>
    <t>XI. Profit (Loss) for the period from continuing operations (IX - X)</t>
  </si>
  <si>
    <t>XII. Earnings per equity share (for continuing operation):</t>
  </si>
  <si>
    <t xml:space="preserve">   (1) Basic</t>
  </si>
  <si>
    <t xml:space="preserve">   (2) Diluted</t>
  </si>
  <si>
    <t>A. Cash flow from operating activities</t>
  </si>
  <si>
    <t>Net profit before tax</t>
  </si>
  <si>
    <t>Adjustments for:</t>
  </si>
  <si>
    <t xml:space="preserve">   Interest income</t>
  </si>
  <si>
    <t>Operating profit before working capital changes</t>
  </si>
  <si>
    <t>Adjustments for changes in working capital:</t>
  </si>
  <si>
    <t xml:space="preserve">   (Increase)/Decrease in Trade Receivables</t>
  </si>
  <si>
    <t xml:space="preserve">   (Increase)/Decrease in Inventories</t>
  </si>
  <si>
    <t xml:space="preserve">   Increase/(Decrease) in Trade Payables</t>
  </si>
  <si>
    <t>Cash generated from operations</t>
  </si>
  <si>
    <t xml:space="preserve">   Direct taxes paid</t>
  </si>
  <si>
    <t>Net cash from operating activities</t>
  </si>
  <si>
    <t>B. Cash flow from investing activities</t>
  </si>
  <si>
    <t xml:space="preserve">   Purchase of Property, Plant and Equipment</t>
  </si>
  <si>
    <t xml:space="preserve">   Interest received</t>
  </si>
  <si>
    <t>Net cash from investing activities</t>
  </si>
  <si>
    <t>C. Cash flow from financing activities</t>
  </si>
  <si>
    <t xml:space="preserve">   Proceeds from issue of Equity Share Capital</t>
  </si>
  <si>
    <t xml:space="preserve">   Proceeds from Long-term borrowings</t>
  </si>
  <si>
    <t xml:space="preserve">   Finance costs paid</t>
  </si>
  <si>
    <t>Net cash from financing activities</t>
  </si>
  <si>
    <t>Net increase/(decrease) in cash and cash equivalents (A+B+C)</t>
  </si>
  <si>
    <t>Cash and cash equivalents at the beginning of the year</t>
  </si>
  <si>
    <t>Cash and cash equivalents at the end of the year</t>
  </si>
  <si>
    <t>No</t>
  </si>
  <si>
    <t>Ratio Analysis</t>
  </si>
  <si>
    <t>Ratio Name</t>
  </si>
  <si>
    <t>Formula</t>
  </si>
  <si>
    <t>Current Year Result</t>
  </si>
  <si>
    <t>Previous Year Result</t>
  </si>
  <si>
    <t>Variance (%)</t>
  </si>
  <si>
    <t>Explanation for Variance &gt; 25%</t>
  </si>
  <si>
    <t>Trade Receivables Aging Schedule</t>
  </si>
  <si>
    <t>&lt; 6 Months</t>
  </si>
  <si>
    <t>6 Months - 1 Year</t>
  </si>
  <si>
    <t>Undisputed</t>
  </si>
  <si>
    <t>Disputed</t>
  </si>
  <si>
    <t>Trade Payables Aging Schedule</t>
  </si>
  <si>
    <t>MSME</t>
  </si>
  <si>
    <t>Vendor Name</t>
  </si>
  <si>
    <t>Payable Type (MSME/Other)</t>
  </si>
  <si>
    <t>Events occurring after the balance sheet date</t>
  </si>
  <si>
    <t>Disputed - Others</t>
  </si>
  <si>
    <t>Undisputed - Others</t>
  </si>
  <si>
    <t>Property, Plant and Equipments</t>
  </si>
  <si>
    <t>Computer</t>
  </si>
  <si>
    <t>Security Deposits</t>
  </si>
  <si>
    <t>Finished Goods</t>
  </si>
  <si>
    <t>Furniture and Fixture</t>
  </si>
  <si>
    <t>ICICI Bank</t>
  </si>
  <si>
    <t>IndusInd Bank</t>
  </si>
  <si>
    <t>Balance with GST Authorities</t>
  </si>
  <si>
    <t>Land and Building</t>
  </si>
  <si>
    <t>Office Equipments</t>
  </si>
  <si>
    <t>Advance to Suppliers</t>
  </si>
  <si>
    <t>Prepaid Expenses</t>
  </si>
  <si>
    <t>Prepaid Insurance</t>
  </si>
  <si>
    <t>Prepaid Lease Rent</t>
  </si>
  <si>
    <t>Balance with Income Tax Authorities</t>
  </si>
  <si>
    <t>Motor Vechile</t>
  </si>
  <si>
    <t>Work in Progress</t>
  </si>
  <si>
    <t>Other Creditors</t>
  </si>
  <si>
    <t>Interest Accured and due on Borrowings</t>
  </si>
  <si>
    <t>14.20 % Debentures</t>
  </si>
  <si>
    <t>Deffered Tax Liablity</t>
  </si>
  <si>
    <t xml:space="preserve">  Others</t>
  </si>
  <si>
    <t>Advance to Employee</t>
  </si>
  <si>
    <t xml:space="preserve">  Related parties</t>
  </si>
  <si>
    <t>Statutory dues payable</t>
  </si>
  <si>
    <t>Audit Fees Payable</t>
  </si>
  <si>
    <t>Employees' outstanding</t>
  </si>
  <si>
    <t>Expense Payable</t>
  </si>
  <si>
    <t>Labour charges Payable</t>
  </si>
  <si>
    <t>13.90 % Debentures</t>
  </si>
  <si>
    <t>Advance from Customers</t>
  </si>
  <si>
    <t>Opening balance - P&amp;L</t>
  </si>
  <si>
    <t>Prefrence Share Capital</t>
  </si>
  <si>
    <t>Revenue from operations</t>
  </si>
  <si>
    <t>Export Incentives</t>
  </si>
  <si>
    <t>Office Running &amp; Maintainance Epenses</t>
  </si>
  <si>
    <t>Advertisement Expenses</t>
  </si>
  <si>
    <t>General Expenses</t>
  </si>
  <si>
    <t>Commission Expenses</t>
  </si>
  <si>
    <t>Online selling expenses</t>
  </si>
  <si>
    <t>Bank and Forex Charges</t>
  </si>
  <si>
    <t>Bonus</t>
  </si>
  <si>
    <t>Borrowing Cost</t>
  </si>
  <si>
    <t>Repair and Maintenance</t>
  </si>
  <si>
    <t>Legal and Professional Expenses</t>
  </si>
  <si>
    <t>Purchases</t>
  </si>
  <si>
    <t>Courier Charges</t>
  </si>
  <si>
    <t>CSR Expenditure</t>
  </si>
  <si>
    <t>Custom Expenses</t>
  </si>
  <si>
    <t>Power and Fuel Expenses</t>
  </si>
  <si>
    <t>Employees Insurance</t>
  </si>
  <si>
    <t>Freight Inward</t>
  </si>
  <si>
    <t>Freight Outward</t>
  </si>
  <si>
    <t>Inauguration Exp</t>
  </si>
  <si>
    <t>Interest Expenses</t>
  </si>
  <si>
    <t>Interest on Statutory dues</t>
  </si>
  <si>
    <t>IT &amp; Telecommunicaiton Expenses</t>
  </si>
  <si>
    <t>Labour Charges</t>
  </si>
  <si>
    <t>Lease Expenses - Building, Warehouse</t>
  </si>
  <si>
    <t>Lease Expenses - P/M</t>
  </si>
  <si>
    <t>Penalty and Interest</t>
  </si>
  <si>
    <t>Printing and Stationery</t>
  </si>
  <si>
    <t>Consumables</t>
  </si>
  <si>
    <t>Recruitment Charges</t>
  </si>
  <si>
    <t>Salary</t>
  </si>
  <si>
    <t>Software Expenses</t>
  </si>
  <si>
    <t>Staff Welfare Expenses</t>
  </si>
  <si>
    <t>TPL Warehouse Expenses</t>
  </si>
  <si>
    <t>Tour and Travelling Expesnes</t>
  </si>
  <si>
    <t>Water Charges</t>
  </si>
  <si>
    <t>Inventory - Opening</t>
  </si>
  <si>
    <t>Inventory - Closing</t>
  </si>
  <si>
    <t>Accounts Receivable</t>
  </si>
  <si>
    <t>Accumulated Depriciation</t>
  </si>
  <si>
    <t>Laptop</t>
  </si>
  <si>
    <t>Mobile</t>
  </si>
  <si>
    <t>Monitor</t>
  </si>
  <si>
    <t>Electricity Deposit-Advant</t>
  </si>
  <si>
    <t>Office Maintenance- Advant</t>
  </si>
  <si>
    <t>Power Security Deposit- WHM</t>
  </si>
  <si>
    <t>Security Deposit -WH Bangalore</t>
  </si>
  <si>
    <t>Security Deposit -WH Muzaffarnagar</t>
  </si>
  <si>
    <t>Security Deposit -WH Noida</t>
  </si>
  <si>
    <t>Security Deposit-Advant Rent</t>
  </si>
  <si>
    <t>Security Deposit-Noida Spectra</t>
  </si>
  <si>
    <t>Security Deposit-Singapore</t>
  </si>
  <si>
    <t>Developments Charges</t>
  </si>
  <si>
    <t>Racks</t>
  </si>
  <si>
    <t>Turbo Vantilator</t>
  </si>
  <si>
    <t>ICICI BANK-3618</t>
  </si>
  <si>
    <t>ICICI BANK-3947</t>
  </si>
  <si>
    <t>Input CGST</t>
  </si>
  <si>
    <t>Input IGST</t>
  </si>
  <si>
    <t>Input SGST</t>
  </si>
  <si>
    <t>Inventory Asset</t>
  </si>
  <si>
    <t>Office Eqipments</t>
  </si>
  <si>
    <t>Air Conditioner</t>
  </si>
  <si>
    <t>Biometric Machine</t>
  </si>
  <si>
    <t>CCTV Camera</t>
  </si>
  <si>
    <t>Convection Microwave</t>
  </si>
  <si>
    <t>Cooler</t>
  </si>
  <si>
    <t>Electrical Fittings</t>
  </si>
  <si>
    <t>General Fittings</t>
  </si>
  <si>
    <t>HDD-4 Tb</t>
  </si>
  <si>
    <t>Printer</t>
  </si>
  <si>
    <t>Refrigerator</t>
  </si>
  <si>
    <t>Safety Eqipuments</t>
  </si>
  <si>
    <t>Smart- LED TV</t>
  </si>
  <si>
    <t>Stablizer</t>
  </si>
  <si>
    <t>TP-Link EAP 225AC 1350</t>
  </si>
  <si>
    <t>Water Filter</t>
  </si>
  <si>
    <t>Plant &amp; Machinery</t>
  </si>
  <si>
    <t>Agitator For Dosing Tank</t>
  </si>
  <si>
    <t>Air Compressor</t>
  </si>
  <si>
    <t>APFC Panel</t>
  </si>
  <si>
    <t>Areca leaf Plate Scrubbing Machine</t>
  </si>
  <si>
    <t>Automatic L Sealer</t>
  </si>
  <si>
    <t>Centicleaner System</t>
  </si>
  <si>
    <t>Chimney</t>
  </si>
  <si>
    <t>Cooling Tower</t>
  </si>
  <si>
    <t>Die-10Sq</t>
  </si>
  <si>
    <t>Die-5 RO</t>
  </si>
  <si>
    <t>Die-6 RO</t>
  </si>
  <si>
    <t>Die-8 SQ</t>
  </si>
  <si>
    <t>Dosing Pumps</t>
  </si>
  <si>
    <t>Electric Motor</t>
  </si>
  <si>
    <t>Electricity Charges -MZ</t>
  </si>
  <si>
    <t>Forming hot press &amp; trimming machine</t>
  </si>
  <si>
    <t>Gear Box &amp; Motor Fittings</t>
  </si>
  <si>
    <t>Gear Box V 6</t>
  </si>
  <si>
    <t>Gear Box V 7</t>
  </si>
  <si>
    <t>Gear Box V 8</t>
  </si>
  <si>
    <t>Generator</t>
  </si>
  <si>
    <t>Globe Valve</t>
  </si>
  <si>
    <t>Hand Pallet Truck</t>
  </si>
  <si>
    <t>Hydraulic Machine Leaf Plate High Speed Heavy Machine</t>
  </si>
  <si>
    <t>Industrial Oven</t>
  </si>
  <si>
    <t>Installation Expenses</t>
  </si>
  <si>
    <t>Inverter</t>
  </si>
  <si>
    <t>Inverter Battery</t>
  </si>
  <si>
    <t>L-Sealer Machine</t>
  </si>
  <si>
    <t>Lease Rent MZ</t>
  </si>
  <si>
    <t>Mold 16 Oz Bowl</t>
  </si>
  <si>
    <t>Mold 6 Inch Plate</t>
  </si>
  <si>
    <t>Pulp Pumps</t>
  </si>
  <si>
    <t>Semi -Automatic Fiber Pulpmolding Thermoforming Machine</t>
  </si>
  <si>
    <t>Shrink Packing Machine</t>
  </si>
  <si>
    <t>SS Tank</t>
  </si>
  <si>
    <t>TDR Refineering</t>
  </si>
  <si>
    <t>Transformer</t>
  </si>
  <si>
    <t>Vacuum Pump</t>
  </si>
  <si>
    <t>Vertical Thermopac Thermic Fluid</t>
  </si>
  <si>
    <t>VFD Panel</t>
  </si>
  <si>
    <t>Water Pump</t>
  </si>
  <si>
    <t>Welding Machine</t>
  </si>
  <si>
    <t>Prepaid Expenses-1</t>
  </si>
  <si>
    <t>Reverse Charge Tax Input but not due</t>
  </si>
  <si>
    <t>TCS Receivable</t>
  </si>
  <si>
    <t>TCS CGST</t>
  </si>
  <si>
    <t>TCS IGST</t>
  </si>
  <si>
    <t>TCS SGST</t>
  </si>
  <si>
    <t>TDS Receivable</t>
  </si>
  <si>
    <t>Car</t>
  </si>
  <si>
    <t>Moter-2 Wheeler</t>
  </si>
  <si>
    <t>Work In Progress</t>
  </si>
  <si>
    <t>Accounts Payable</t>
  </si>
  <si>
    <t>Accured Interest</t>
  </si>
  <si>
    <t>ALTERIAFUNDII00027</t>
  </si>
  <si>
    <t>ALTERIAFUNDII00202</t>
  </si>
  <si>
    <t>ALTERIAFUNDII00224</t>
  </si>
  <si>
    <t>ALTERIAFUNDIIIA0047</t>
  </si>
  <si>
    <t>Deffered Tax Liability</t>
  </si>
  <si>
    <t>Anil Kumar GM</t>
  </si>
  <si>
    <t>Anil Kumar Staff</t>
  </si>
  <si>
    <t>Arun Sathpathy</t>
  </si>
  <si>
    <t>Charu Anand</t>
  </si>
  <si>
    <t>Chetan</t>
  </si>
  <si>
    <t>Danish Hameed</t>
  </si>
  <si>
    <t>Deepali Mishra</t>
  </si>
  <si>
    <t>Dheeraj Kumar</t>
  </si>
  <si>
    <t>Dinesh Kumar</t>
  </si>
  <si>
    <t>Kapil Sharma</t>
  </si>
  <si>
    <t>Kuldeep Sonawane</t>
  </si>
  <si>
    <t>Lavkush Sharma</t>
  </si>
  <si>
    <t>Navneet Singh</t>
  </si>
  <si>
    <t>Omveer Singh</t>
  </si>
  <si>
    <t>Priyanka Aeron</t>
  </si>
  <si>
    <t>Rahul Chauhan</t>
  </si>
  <si>
    <t>Rinku</t>
  </si>
  <si>
    <t>Samarendra Pandey</t>
  </si>
  <si>
    <t>Sandeep Kishan</t>
  </si>
  <si>
    <t>Sandeep Sharma</t>
  </si>
  <si>
    <t>Sanjeet Kumar Singh</t>
  </si>
  <si>
    <t>Shashi Ranjan Singh</t>
  </si>
  <si>
    <t>Shubham Atri</t>
  </si>
  <si>
    <t>Vidya Vinod</t>
  </si>
  <si>
    <t>GST Payable</t>
  </si>
  <si>
    <t>Output CGST</t>
  </si>
  <si>
    <t>Output IGST</t>
  </si>
  <si>
    <t>Output SGST</t>
  </si>
  <si>
    <t xml:space="preserve">Audit Fees </t>
  </si>
  <si>
    <t>Bonus Payable</t>
  </si>
  <si>
    <t>Employee EPF Payable</t>
  </si>
  <si>
    <t>Employer EPF Payable</t>
  </si>
  <si>
    <t>ESI Payable</t>
  </si>
  <si>
    <t>Labour Admin Charges Payable</t>
  </si>
  <si>
    <t>Labour Charges Payable</t>
  </si>
  <si>
    <t>Labour ESI Payable</t>
  </si>
  <si>
    <t>Labour PF Payable</t>
  </si>
  <si>
    <t>Salary Payable</t>
  </si>
  <si>
    <t>Share Capital</t>
  </si>
  <si>
    <t>Stride Fund</t>
  </si>
  <si>
    <t>TDS Payable</t>
  </si>
  <si>
    <t>TDS-92B</t>
  </si>
  <si>
    <t>Unearned Revenue</t>
  </si>
  <si>
    <t>Preferance Share</t>
  </si>
  <si>
    <t>Discount</t>
  </si>
  <si>
    <t>Duty Draw back</t>
  </si>
  <si>
    <t>Other Charges</t>
  </si>
  <si>
    <t>Sales</t>
  </si>
  <si>
    <t>Access Card Charges</t>
  </si>
  <si>
    <t>Ad Shooting Exp</t>
  </si>
  <si>
    <t>Advertisement Exp</t>
  </si>
  <si>
    <t>Service fees-Airpay</t>
  </si>
  <si>
    <t>Commission-Amala Earth</t>
  </si>
  <si>
    <t>Amazon Advertising</t>
  </si>
  <si>
    <t>Amazon FBA Transportation</t>
  </si>
  <si>
    <t>Amazon Selling Fees</t>
  </si>
  <si>
    <t>Transport Charges-Amazon</t>
  </si>
  <si>
    <t>Bank Fees and Charges</t>
  </si>
  <si>
    <t>Borrowing cost</t>
  </si>
  <si>
    <t>Business Promotion</t>
  </si>
  <si>
    <t>Car Parking Charges</t>
  </si>
  <si>
    <t>Cleaning Exp</t>
  </si>
  <si>
    <t>Commission Exp</t>
  </si>
  <si>
    <t>Computer Exp</t>
  </si>
  <si>
    <t>Consultancy Exp</t>
  </si>
  <si>
    <t>Cost of Goods Sold</t>
  </si>
  <si>
    <t>Diesel &amp; Petrol Exp- HO</t>
  </si>
  <si>
    <t>Diesel &amp; Petrol Exp- WHB</t>
  </si>
  <si>
    <t>Diesel &amp; Petrol Exp- WHM</t>
  </si>
  <si>
    <t>E-Pay Later Expense</t>
  </si>
  <si>
    <t>Electricity -Noida</t>
  </si>
  <si>
    <t>Electricity -WHB</t>
  </si>
  <si>
    <t>Electricity- WHM</t>
  </si>
  <si>
    <t>Exchange Gain or Loss</t>
  </si>
  <si>
    <t>Facebook- Advertising</t>
  </si>
  <si>
    <t>FCL Ocean Freight</t>
  </si>
  <si>
    <t>Ad Services Fees</t>
  </si>
  <si>
    <t>Collection Fee</t>
  </si>
  <si>
    <t>Commission</t>
  </si>
  <si>
    <t>Fixed Fee</t>
  </si>
  <si>
    <t>Misc.</t>
  </si>
  <si>
    <t>Shipping Fee</t>
  </si>
  <si>
    <t>Transport Charges-Flipkart</t>
  </si>
  <si>
    <t>Freight Inward-WH Bangalore</t>
  </si>
  <si>
    <t>Freight Inward-WH Muzaffarnagar</t>
  </si>
  <si>
    <t>Freight Inward-WH Noida</t>
  </si>
  <si>
    <t>Freight Outward-WH Bangalore</t>
  </si>
  <si>
    <t>Freight Outward-WH Muzaffarnagar</t>
  </si>
  <si>
    <t>Freight Outward-WH Noida</t>
  </si>
  <si>
    <t>Interest Exp</t>
  </si>
  <si>
    <t>Interest on Income Tax</t>
  </si>
  <si>
    <t>Interest On TDS</t>
  </si>
  <si>
    <t>Internal Line Distribution Charges</t>
  </si>
  <si>
    <t>IT and Internet Expenses</t>
  </si>
  <si>
    <t>Commision-Jio Mart</t>
  </si>
  <si>
    <t>Fixed Fees-Jio Mart</t>
  </si>
  <si>
    <t>JIO MART -Shipping Fee</t>
  </si>
  <si>
    <t>Logistics Expense-Jio Mart</t>
  </si>
  <si>
    <t>Labour Administration Charges</t>
  </si>
  <si>
    <t>Labour Charges - WH Muzaffarnagar</t>
  </si>
  <si>
    <t>Labour Charges- WH Noida</t>
  </si>
  <si>
    <t>Labour Charges-WHB</t>
  </si>
  <si>
    <t>Labour Employee PF Expense</t>
  </si>
  <si>
    <t>Labour Employer PF Expense</t>
  </si>
  <si>
    <t>Labour ESI Expense</t>
  </si>
  <si>
    <t>Lease rent virtual offices</t>
  </si>
  <si>
    <t>Lease Rent WH Bangalore New</t>
  </si>
  <si>
    <t>Lease Rent- Generator</t>
  </si>
  <si>
    <t>Lease Rent- WH Muzaffarnagar</t>
  </si>
  <si>
    <t>Lease Rent-Noida</t>
  </si>
  <si>
    <t>Lease Rent-WH Bangalore</t>
  </si>
  <si>
    <t>Lease Rent-WH Noida</t>
  </si>
  <si>
    <t>Legal &amp; Prefessional Fees</t>
  </si>
  <si>
    <t>Maintenance Charges-Advant</t>
  </si>
  <si>
    <t>Material Insurance</t>
  </si>
  <si>
    <t>Material Purchase</t>
  </si>
  <si>
    <t>Misc..Exp</t>
  </si>
  <si>
    <t>Office Exp</t>
  </si>
  <si>
    <t>Provident Fund Interest</t>
  </si>
  <si>
    <t>Purchase Discounts</t>
  </si>
  <si>
    <t>Raw Materials And Consumables</t>
  </si>
  <si>
    <t>Repair &amp; Maintenance - Computer</t>
  </si>
  <si>
    <t>Repair &amp; Maintenance HO</t>
  </si>
  <si>
    <t>Repair &amp; Maintenance WH Bangalore</t>
  </si>
  <si>
    <t>Repair &amp; Maintenance WH Muzafarnagar</t>
  </si>
  <si>
    <t>Repair &amp; Maintenance WH Noida</t>
  </si>
  <si>
    <t>Vehicle Repair &amp; Maintenance</t>
  </si>
  <si>
    <t>Round Off</t>
  </si>
  <si>
    <t>Employee PF Expense</t>
  </si>
  <si>
    <t>Employer PF- Expenses</t>
  </si>
  <si>
    <t>ESI Expense</t>
  </si>
  <si>
    <t>Stipend</t>
  </si>
  <si>
    <t>Security Services -WHM</t>
  </si>
  <si>
    <t>Service Commission</t>
  </si>
  <si>
    <t>Software Exp</t>
  </si>
  <si>
    <t>Staff Welfare</t>
  </si>
  <si>
    <t>Subscription Fees</t>
  </si>
  <si>
    <t>Tax Paid Expense</t>
  </si>
  <si>
    <t>Telephone Expense</t>
  </si>
  <si>
    <t>Transport Charges- Top India Logistics</t>
  </si>
  <si>
    <t>Travel Expense -HO</t>
  </si>
  <si>
    <t>Travel Expense -WHB</t>
  </si>
  <si>
    <t>Travel Expense -WHM</t>
  </si>
  <si>
    <t>Travel Expense WH Noida</t>
  </si>
  <si>
    <t>Vehicle Insurance</t>
  </si>
  <si>
    <t>Website Development</t>
  </si>
  <si>
    <t xml:space="preserve">Opening Stock </t>
  </si>
  <si>
    <t>Closing Stock</t>
  </si>
  <si>
    <t>Balance Sheet</t>
  </si>
  <si>
    <t>BS</t>
  </si>
  <si>
    <t>PL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</si>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</sst>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Bookman Old Style"/>
      <family val="1"/>
    </font>
    <font>
      <sz val="11"/>
      <color theme="1"/>
      <name val="Bookman Old Style"/>
      <family val="1"/>
    </font>
    <font>
      <b/>
      <sz val="11"/>
      <color rgb="FF000000"/>
      <name val="Bookman Old Style"/>
      <family val="1"/>
    </font>
    <font>
      <sz val="10"/>
      <color rgb="FF000000"/>
      <name val="Bookman Old Style"/>
      <family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10" fontId="2" fillId="0" borderId="0" xfId="0" applyNumberFormat="1" applyFont="1"/>
    <xf numFmtId="3" fontId="2" fillId="0" borderId="0" xfId="0" applyNumberFormat="1" applyFont="1"/>
    <xf numFmtId="43" fontId="2" fillId="0" borderId="0" xfId="0" applyNumberFormat="1" applyFont="1"/>
    <xf numFmtId="43" fontId="1" fillId="0" borderId="0" xfId="0" applyNumberFormat="1" applyFont="1"/>
    <xf numFmtId="0" fontId="1" fillId="0" borderId="1" xfId="0" applyFont="1" applyBorder="1"/>
    <xf numFmtId="43" fontId="1" fillId="0" borderId="1" xfId="0" applyNumberFormat="1" applyFont="1" applyBorder="1"/>
    <xf numFmtId="43" fontId="2" fillId="0" borderId="1" xfId="0" applyNumberFormat="1" applyFont="1" applyBorder="1"/>
    <xf numFmtId="0" fontId="1" fillId="0" borderId="2" xfId="0" applyFont="1" applyBorder="1"/>
    <xf numFmtId="0" fontId="2" fillId="0" borderId="2" xfId="0" applyFont="1" applyBorder="1"/>
    <xf numFmtId="43" fontId="2" fillId="0" borderId="2" xfId="0" applyNumberFormat="1" applyFont="1" applyBorder="1"/>
    <xf numFmtId="43" fontId="1" fillId="0" borderId="2" xfId="0" applyNumberFormat="1" applyFont="1" applyBorder="1"/>
  </cellXfs>
  <cellStyles count="1">
    <cellStyle name="Normal" xfId="0" builtinId="0"/>
  </cellStyles>
  <dxfs count="44"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man Old Style"/>
        <family val="1"/>
        <scheme val="none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0</xdr:col>
          <xdr:colOff>1270000</xdr:colOff>
          <xdr:row>14</xdr:row>
          <xdr:rowOff>152400</xdr:rowOff>
        </xdr:to>
        <xdr:sp macro="" textlink="">
          <xdr:nvSpPr>
            <xdr:cNvPr id="229377" name="btnGenerateFinancials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0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Bookman Old Style"/>
                </a:rPr>
                <a:t>Refresh Financials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50800</xdr:colOff>
          <xdr:row>3</xdr:row>
          <xdr:rowOff>25400</xdr:rowOff>
        </xdr:to>
        <xdr:sp macro="" textlink="">
          <xdr:nvSpPr>
            <xdr:cNvPr id="230401" name="btnValidateData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01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Bookman Old Style"/>
                </a:rPr>
                <a:t>Validate Pasted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6707AF7C-C5A7-41C6-8950-55046103B5DE}" name="tblTrialBalance" displayName="tblTrialBalance" ref="A1:J272" totalsRowShown="0" headerRowDxfId="40" dataDxfId="39">
  <autoFilter ref="A1:J272" xr:uid="{6707AF7C-C5A7-41C6-8950-55046103B5DE}"/>
  <tableColumns count="10">
    <tableColumn id="1" xr3:uid="{EE9B5059-5CAA-46F6-92A3-78DF6585192D}" name="Ledger Name" dataDxfId="38"/>
    <tableColumn id="2" xr3:uid="{14BB695E-8AD3-4A45-826B-76B745CE31C6}" name="Opening Balance (CY)" dataDxfId="37"/>
    <tableColumn id="3" xr3:uid="{F48D5C11-059F-429D-918E-B19F3AAE43AB}" name="Debit (CY)" dataDxfId="36"/>
    <tableColumn id="4" xr3:uid="{D931C98A-67B5-460F-B604-B20BDB26ADD2}" name="Credit (CY)" dataDxfId="35"/>
    <tableColumn id="5" xr3:uid="{F3D2B4FD-F438-4FB3-BB80-151FBEBB00CF}" name="Closing Balance (CY)" dataDxfId="34">
      <calculatedColumnFormula>tblTrialBalance[[#This Row],[Opening Balance (CY)]]+tblTrialBalance[[#This Row],[Debit (CY)]]-tblTrialBalance[[#This Row],[Credit (CY)]]</calculatedColumnFormula>
    </tableColumn>
    <tableColumn id="6" xr3:uid="{84FA3590-7ACE-4418-AEB9-ECB346D71FC3}" name="Closing Balance (PY)" dataDxfId="33"/>
    <tableColumn id="7" xr3:uid="{D4DFBD16-72C0-42AD-ABAD-1478FB63186E}" name="Type (BS/PL)" dataDxfId="32"/>
    <tableColumn id="8" xr3:uid="{B1B2FD25-D3C4-4BF6-87A6-C18330870A38}" name="Major Head" dataDxfId="31"/>
    <tableColumn id="9" xr3:uid="{E24CD01B-807D-4B4A-8E9B-242A1633AF86}" name="Minor Head" dataDxfId="30"/>
    <tableColumn id="10" xr3:uid="{DE6E6E9B-3033-48FF-8562-BF9AE007BFFA}" name="Grouping" dataDxfId="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1E8A06E-3DFA-442D-A79E-16C333A5E947}" name="tblInvestments" displayName="tblInvestments" ref="A1:D2" insertRow="1" totalsRowShown="0" headerRowDxfId="28" dataDxfId="27">
  <autoFilter ref="A1:D2" xr:uid="{31E8A06E-3DFA-442D-A79E-16C333A5E947}"/>
  <tableColumns count="4">
    <tableColumn id="1" xr3:uid="{ED602BAD-3162-4052-A2BE-49D3B5EDA6A6}" name="Investment Particulars" dataDxfId="26"/>
    <tableColumn id="2" xr3:uid="{07F8B394-F529-49DC-8784-600BB170BD25}" name="Classification" dataDxfId="25"/>
    <tableColumn id="3" xr3:uid="{EE9D53D2-0F6E-48F2-9612-D3036CFA76DB}" name="Cost (CY)" dataDxfId="24"/>
    <tableColumn id="4" xr3:uid="{C5F3BBDE-0741-43BB-93DD-7EB36BE6620A}" name="Cost (PY)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44A07B0-96BD-4EBE-AC59-7F66B28B55C2}" name="tblRelatedParty" displayName="tblRelatedParty" ref="A1:G2" insertRow="1" totalsRowShown="0" headerRowDxfId="22" dataDxfId="21">
  <autoFilter ref="A1:G2" xr:uid="{C44A07B0-96BD-4EBE-AC59-7F66B28B55C2}"/>
  <tableColumns count="7">
    <tableColumn id="1" xr3:uid="{CD17E3EC-7BA0-44C7-801F-89D04014664A}" name="Related Party Name" dataDxfId="20"/>
    <tableColumn id="2" xr3:uid="{49A35E12-8FB8-49A3-BE4E-DB43296AD134}" name="Relationship" dataDxfId="19"/>
    <tableColumn id="3" xr3:uid="{3E97397C-A3E6-4C95-AF16-24EDC50544B8}" name="Transaction Type" dataDxfId="18"/>
    <tableColumn id="4" xr3:uid="{D713631D-5F8D-4917-9FD7-860668EF67B2}" name="Amount (CY)" dataDxfId="17"/>
    <tableColumn id="5" xr3:uid="{4CA11D53-1CD0-48AB-9D59-8091BBC95BAD}" name="Amount (PY)" dataDxfId="16"/>
    <tableColumn id="6" xr3:uid="{119A2837-9C94-484F-97AB-6221FF02B082}" name="Balance Outstanding (CY)" dataDxfId="15"/>
    <tableColumn id="7" xr3:uid="{9F07B767-FD55-489E-A586-066288CB60E8}" name="Balance Outstanding (PY)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840CC96-2B86-4DF3-BDA2-87F00E35D1D5}" name="tblContingentLiab" displayName="tblContingentLiab" ref="A1:D2" insertRow="1" totalsRowShown="0" headerRowDxfId="13" dataDxfId="12">
  <autoFilter ref="A1:D2" xr:uid="{4840CC96-2B86-4DF3-BDA2-87F00E35D1D5}"/>
  <tableColumns count="4">
    <tableColumn id="1" xr3:uid="{A1EBBAA7-FE2C-4233-ACA7-84BEB88574E4}" name="Particulars" dataDxfId="11"/>
    <tableColumn id="2" xr3:uid="{6350A32E-062D-45BB-83B9-A9FF3BF1B3FF}" name="Type" dataDxfId="10"/>
    <tableColumn id="3" xr3:uid="{9BF94480-360A-4D98-9A1A-30E80571E24D}" name="Amount (CY)" dataDxfId="9"/>
    <tableColumn id="4" xr3:uid="{B6862033-8C88-4242-8AA3-C26A73FCBBD2}" name="Amount (PY)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F9F2387-B493-4024-9FE7-0102A0D32A7E}" name="tblRatios" displayName="tblRatios" ref="A3:F4" insertRow="1" totalsRowShown="0" headerRowDxfId="7" dataDxfId="6">
  <autoFilter ref="A3:F4" xr:uid="{BF9F2387-B493-4024-9FE7-0102A0D32A7E}"/>
  <tableColumns count="6">
    <tableColumn id="1" xr3:uid="{39868B19-D884-4371-BE23-097B82F70F69}" name="Ratio Name" dataDxfId="5"/>
    <tableColumn id="2" xr3:uid="{C217188A-E745-447F-BAD1-1A1A5A675BC8}" name="Formula" dataDxfId="4"/>
    <tableColumn id="3" xr3:uid="{D73E0BF1-9035-4074-B0C7-41E0A3ACAFA7}" name="Current Year Result" dataDxfId="3"/>
    <tableColumn id="4" xr3:uid="{B821EFBE-2B12-4E4E-92E1-7646F30E23C2}" name="Previous Year Result" dataDxfId="2"/>
    <tableColumn id="5" xr3:uid="{8E7836C3-3616-46DF-A0DD-1AE0E4144EF2}" name="Variance (%)" dataDxfId="1"/>
    <tableColumn id="6" xr3:uid="{556FA786-42A9-4EB8-A57A-DCE4DB2A0955}" name="Explanation for Variance &gt; 25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52145-51CB-478B-BF55-6243EA094591}">
  <sheetPr codeName="Sheet161"/>
  <dimension ref="A1:H77"/>
  <sheetViews>
    <sheetView workbookViewId="0">
      <selection activeCell="E2" sqref="E2"/>
    </sheetView>
  </sheetViews>
  <sheetFormatPr defaultRowHeight="14" x14ac:dyDescent="0.3"/>
  <cols>
    <col min="1" max="1" width="18.6328125" style="1" bestFit="1" customWidth="1"/>
    <col min="2" max="2" width="16.54296875" style="2" bestFit="1" customWidth="1"/>
    <col min="3" max="3" width="27.54296875" style="2" bestFit="1" customWidth="1"/>
    <col min="4" max="4" width="66.7265625" style="2" bestFit="1" customWidth="1"/>
    <col min="5" max="5" width="39.1796875" style="2" bestFit="1" customWidth="1"/>
    <col min="6" max="6" width="37.90625" style="2" bestFit="1" customWidth="1"/>
    <col min="7" max="7" width="29.90625" style="2" bestFit="1" customWidth="1"/>
    <col min="8" max="8" width="22.54296875" style="2" bestFit="1" customWidth="1"/>
    <col min="9" max="16384" width="8.7265625" style="2"/>
  </cols>
  <sheetData>
    <row r="1" spans="1:8" x14ac:dyDescent="0.3">
      <c r="A1" s="1" t="s">
        <v>0</v>
      </c>
      <c r="B1" s="2" t="s">
        <v>11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</row>
    <row r="2" spans="1:8" x14ac:dyDescent="0.3">
      <c r="A2" s="1" t="s">
        <v>1</v>
      </c>
      <c r="B2" s="2" t="s">
        <v>11</v>
      </c>
      <c r="C2" s="2" t="s">
        <v>23</v>
      </c>
      <c r="D2" s="2" t="s">
        <v>57</v>
      </c>
      <c r="E2" s="2" t="s">
        <v>30</v>
      </c>
      <c r="F2" s="2" t="s">
        <v>75</v>
      </c>
      <c r="G2" s="2" t="s">
        <v>90</v>
      </c>
      <c r="H2" s="2" t="s">
        <v>97</v>
      </c>
    </row>
    <row r="3" spans="1:8" x14ac:dyDescent="0.3">
      <c r="A3" s="1" t="s">
        <v>2</v>
      </c>
      <c r="B3" s="2" t="s">
        <v>11</v>
      </c>
      <c r="C3" s="2" t="s">
        <v>24</v>
      </c>
      <c r="D3" s="2" t="s">
        <v>24</v>
      </c>
      <c r="E3" s="2" t="s">
        <v>445</v>
      </c>
      <c r="F3" s="2" t="s">
        <v>76</v>
      </c>
      <c r="G3" s="2" t="s">
        <v>91</v>
      </c>
      <c r="H3" s="2" t="s">
        <v>98</v>
      </c>
    </row>
    <row r="4" spans="1:8" x14ac:dyDescent="0.3">
      <c r="A4" s="1" t="s">
        <v>3</v>
      </c>
      <c r="B4" s="3">
        <v>45658</v>
      </c>
      <c r="C4" s="2" t="s">
        <v>25</v>
      </c>
      <c r="D4" s="2" t="s">
        <v>58</v>
      </c>
      <c r="E4" s="2" t="s">
        <v>446</v>
      </c>
      <c r="F4" s="2" t="s">
        <v>77</v>
      </c>
      <c r="G4" s="2" t="s">
        <v>92</v>
      </c>
      <c r="H4" s="2" t="s">
        <v>74</v>
      </c>
    </row>
    <row r="5" spans="1:8" x14ac:dyDescent="0.3">
      <c r="A5" s="1" t="s">
        <v>4</v>
      </c>
      <c r="B5" s="3">
        <v>46022</v>
      </c>
      <c r="C5" s="2" t="s">
        <v>26</v>
      </c>
      <c r="D5" s="2" t="s">
        <v>59</v>
      </c>
      <c r="E5" s="2" t="s">
        <v>447</v>
      </c>
      <c r="F5" s="2" t="s">
        <v>78</v>
      </c>
      <c r="G5" s="2" t="s">
        <v>93</v>
      </c>
      <c r="H5" s="2" t="s">
        <v>99</v>
      </c>
    </row>
    <row r="6" spans="1:8" x14ac:dyDescent="0.3">
      <c r="A6" s="1" t="s">
        <v>5</v>
      </c>
      <c r="B6" s="2" t="s">
        <v>12</v>
      </c>
      <c r="C6" s="2" t="s">
        <v>27</v>
      </c>
      <c r="D6" s="2" t="s">
        <v>27</v>
      </c>
      <c r="E6" s="2" t="s">
        <v>448</v>
      </c>
      <c r="F6" s="2" t="s">
        <v>79</v>
      </c>
      <c r="G6" s="2" t="s">
        <v>94</v>
      </c>
      <c r="H6" s="2" t="s">
        <v>100</v>
      </c>
    </row>
    <row r="7" spans="1:8" x14ac:dyDescent="0.3">
      <c r="A7" s="1" t="s">
        <v>6</v>
      </c>
      <c r="B7" s="2" t="s">
        <v>13</v>
      </c>
      <c r="C7" s="2" t="s">
        <v>28</v>
      </c>
      <c r="D7" s="2" t="s">
        <v>29</v>
      </c>
      <c r="E7" s="2" t="s">
        <v>449</v>
      </c>
      <c r="F7" s="2" t="s">
        <v>80</v>
      </c>
      <c r="G7" s="2" t="s">
        <v>95</v>
      </c>
      <c r="H7" s="2" t="s">
        <v>101</v>
      </c>
    </row>
    <row r="8" spans="1:8" x14ac:dyDescent="0.3">
      <c r="A8" s="1" t="s">
        <v>7</v>
      </c>
      <c r="B8" s="2" t="s">
        <v>14</v>
      </c>
      <c r="C8" s="2" t="s">
        <v>29</v>
      </c>
      <c r="D8" s="2" t="s">
        <v>60</v>
      </c>
      <c r="E8" s="2" t="s">
        <v>450</v>
      </c>
      <c r="F8" s="2" t="s">
        <v>81</v>
      </c>
      <c r="G8" s="2" t="s">
        <v>96</v>
      </c>
      <c r="H8" s="2" t="s">
        <v>102</v>
      </c>
    </row>
    <row r="9" spans="1:8" x14ac:dyDescent="0.3">
      <c r="A9" s="1" t="s">
        <v>8</v>
      </c>
      <c r="B9" s="2" t="s">
        <v>15</v>
      </c>
      <c r="C9" s="2" t="s">
        <v>30</v>
      </c>
      <c r="D9" s="2" t="s">
        <v>31</v>
      </c>
      <c r="E9" s="2" t="s">
        <v>451</v>
      </c>
      <c r="F9" s="2" t="s">
        <v>82</v>
      </c>
      <c r="H9" s="2" t="s">
        <v>103</v>
      </c>
    </row>
    <row r="10" spans="1:8" x14ac:dyDescent="0.3">
      <c r="A10" s="1" t="s">
        <v>9</v>
      </c>
      <c r="B10" s="2" t="s">
        <v>16</v>
      </c>
      <c r="C10" s="2" t="s">
        <v>31</v>
      </c>
      <c r="D10" s="2" t="s">
        <v>61</v>
      </c>
      <c r="E10" s="2" t="s">
        <v>452</v>
      </c>
      <c r="F10" s="2" t="s">
        <v>83</v>
      </c>
      <c r="H10" s="2" t="s">
        <v>104</v>
      </c>
    </row>
    <row r="11" spans="1:8" x14ac:dyDescent="0.3">
      <c r="A11" s="1" t="s">
        <v>10</v>
      </c>
      <c r="B11" s="2">
        <v>11</v>
      </c>
      <c r="C11" s="2" t="s">
        <v>32</v>
      </c>
      <c r="D11" s="2" t="s">
        <v>34</v>
      </c>
      <c r="E11" s="2" t="s">
        <v>453</v>
      </c>
      <c r="F11" s="2" t="s">
        <v>84</v>
      </c>
      <c r="H11" s="2" t="s">
        <v>105</v>
      </c>
    </row>
    <row r="12" spans="1:8" x14ac:dyDescent="0.3">
      <c r="C12" s="2" t="s">
        <v>33</v>
      </c>
      <c r="D12" s="2" t="s">
        <v>35</v>
      </c>
      <c r="E12" s="2" t="s">
        <v>454</v>
      </c>
      <c r="F12" s="2" t="s">
        <v>85</v>
      </c>
      <c r="H12" s="2" t="s">
        <v>106</v>
      </c>
    </row>
    <row r="13" spans="1:8" x14ac:dyDescent="0.3">
      <c r="C13" s="2" t="s">
        <v>34</v>
      </c>
      <c r="D13" s="2" t="s">
        <v>62</v>
      </c>
      <c r="E13" s="2" t="s">
        <v>70</v>
      </c>
      <c r="F13" s="2" t="s">
        <v>86</v>
      </c>
      <c r="H13" s="2" t="s">
        <v>107</v>
      </c>
    </row>
    <row r="14" spans="1:8" x14ac:dyDescent="0.3">
      <c r="C14" s="2" t="s">
        <v>35</v>
      </c>
      <c r="D14" s="2" t="s">
        <v>63</v>
      </c>
      <c r="E14" s="2" t="s">
        <v>455</v>
      </c>
      <c r="F14" s="2" t="s">
        <v>87</v>
      </c>
      <c r="H14" s="2" t="s">
        <v>108</v>
      </c>
    </row>
    <row r="15" spans="1:8" x14ac:dyDescent="0.3">
      <c r="C15" s="2" t="s">
        <v>36</v>
      </c>
      <c r="D15" s="2" t="s">
        <v>64</v>
      </c>
      <c r="E15" s="2" t="s">
        <v>456</v>
      </c>
      <c r="F15" s="2" t="s">
        <v>88</v>
      </c>
    </row>
    <row r="16" spans="1:8" x14ac:dyDescent="0.3">
      <c r="C16" s="2" t="s">
        <v>37</v>
      </c>
      <c r="D16" s="2" t="s">
        <v>65</v>
      </c>
      <c r="E16" s="2" t="s">
        <v>457</v>
      </c>
      <c r="F16" s="2" t="s">
        <v>89</v>
      </c>
    </row>
    <row r="17" spans="3:5" x14ac:dyDescent="0.3">
      <c r="C17" s="2" t="s">
        <v>38</v>
      </c>
      <c r="D17" s="2" t="s">
        <v>44</v>
      </c>
      <c r="E17" s="2" t="s">
        <v>458</v>
      </c>
    </row>
    <row r="18" spans="3:5" x14ac:dyDescent="0.3">
      <c r="C18" s="2" t="s">
        <v>39</v>
      </c>
      <c r="D18" s="2" t="s">
        <v>45</v>
      </c>
      <c r="E18" s="2" t="s">
        <v>459</v>
      </c>
    </row>
    <row r="19" spans="3:5" x14ac:dyDescent="0.3">
      <c r="C19" s="2" t="s">
        <v>40</v>
      </c>
      <c r="D19" s="2" t="s">
        <v>46</v>
      </c>
      <c r="E19" s="2" t="s">
        <v>460</v>
      </c>
    </row>
    <row r="20" spans="3:5" x14ac:dyDescent="0.3">
      <c r="C20" s="2" t="s">
        <v>41</v>
      </c>
      <c r="D20" s="2" t="s">
        <v>47</v>
      </c>
      <c r="E20" s="2" t="s">
        <v>461</v>
      </c>
    </row>
    <row r="21" spans="3:5" x14ac:dyDescent="0.3">
      <c r="C21" s="2" t="s">
        <v>42</v>
      </c>
      <c r="D21" s="2" t="s">
        <v>66</v>
      </c>
      <c r="E21" s="2" t="s">
        <v>462</v>
      </c>
    </row>
    <row r="22" spans="3:5" x14ac:dyDescent="0.3">
      <c r="C22" s="2" t="s">
        <v>43</v>
      </c>
      <c r="D22" s="2" t="s">
        <v>67</v>
      </c>
      <c r="E22" s="2" t="s">
        <v>463</v>
      </c>
    </row>
    <row r="23" spans="3:5" x14ac:dyDescent="0.3">
      <c r="C23" s="2" t="s">
        <v>44</v>
      </c>
      <c r="D23" s="2" t="s">
        <v>50</v>
      </c>
      <c r="E23" s="2" t="s">
        <v>464</v>
      </c>
    </row>
    <row r="24" spans="3:5" x14ac:dyDescent="0.3">
      <c r="C24" s="2" t="s">
        <v>45</v>
      </c>
      <c r="D24" s="2" t="s">
        <v>68</v>
      </c>
      <c r="E24" s="2" t="s">
        <v>465</v>
      </c>
    </row>
    <row r="25" spans="3:5" x14ac:dyDescent="0.3">
      <c r="C25" s="2" t="s">
        <v>46</v>
      </c>
      <c r="D25" s="2" t="s">
        <v>52</v>
      </c>
      <c r="E25" s="2" t="s">
        <v>466</v>
      </c>
    </row>
    <row r="26" spans="3:5" x14ac:dyDescent="0.3">
      <c r="C26" s="2" t="s">
        <v>47</v>
      </c>
      <c r="E26" s="2" t="s">
        <v>467</v>
      </c>
    </row>
    <row r="27" spans="3:5" x14ac:dyDescent="0.3">
      <c r="C27" s="2" t="s">
        <v>48</v>
      </c>
      <c r="E27" s="2" t="s">
        <v>468</v>
      </c>
    </row>
    <row r="28" spans="3:5" x14ac:dyDescent="0.3">
      <c r="C28" s="2" t="s">
        <v>49</v>
      </c>
      <c r="E28" s="2" t="s">
        <v>469</v>
      </c>
    </row>
    <row r="29" spans="3:5" x14ac:dyDescent="0.3">
      <c r="C29" s="2" t="s">
        <v>50</v>
      </c>
      <c r="E29" s="2" t="s">
        <v>470</v>
      </c>
    </row>
    <row r="30" spans="3:5" x14ac:dyDescent="0.3">
      <c r="C30" s="2" t="s">
        <v>51</v>
      </c>
      <c r="E30" s="2" t="s">
        <v>471</v>
      </c>
    </row>
    <row r="31" spans="3:5" x14ac:dyDescent="0.3">
      <c r="C31" s="2" t="s">
        <v>52</v>
      </c>
      <c r="E31" s="2" t="s">
        <v>472</v>
      </c>
    </row>
    <row r="32" spans="3:5" x14ac:dyDescent="0.3">
      <c r="C32" s="2" t="s">
        <v>53</v>
      </c>
      <c r="E32" s="2" t="s">
        <v>473</v>
      </c>
    </row>
    <row r="33" spans="3:5" x14ac:dyDescent="0.3">
      <c r="C33" s="2" t="s">
        <v>54</v>
      </c>
      <c r="E33" s="2" t="s">
        <v>34</v>
      </c>
    </row>
    <row r="34" spans="3:5" x14ac:dyDescent="0.3">
      <c r="C34" s="2" t="s">
        <v>55</v>
      </c>
      <c r="E34" s="2" t="s">
        <v>474</v>
      </c>
    </row>
    <row r="35" spans="3:5" x14ac:dyDescent="0.3">
      <c r="C35" s="2" t="s">
        <v>56</v>
      </c>
      <c r="E35" s="2" t="s">
        <v>475</v>
      </c>
    </row>
    <row r="36" spans="3:5" x14ac:dyDescent="0.3">
      <c r="E36" s="2" t="s">
        <v>476</v>
      </c>
    </row>
    <row r="37" spans="3:5" x14ac:dyDescent="0.3">
      <c r="E37" s="2" t="s">
        <v>477</v>
      </c>
    </row>
    <row r="38" spans="3:5" x14ac:dyDescent="0.3">
      <c r="E38" s="2" t="s">
        <v>478</v>
      </c>
    </row>
    <row r="39" spans="3:5" x14ac:dyDescent="0.3">
      <c r="E39" s="2" t="s">
        <v>479</v>
      </c>
    </row>
    <row r="40" spans="3:5" x14ac:dyDescent="0.3">
      <c r="E40" s="2" t="s">
        <v>480</v>
      </c>
    </row>
    <row r="41" spans="3:5" x14ac:dyDescent="0.3">
      <c r="E41" s="2" t="s">
        <v>481</v>
      </c>
    </row>
    <row r="42" spans="3:5" x14ac:dyDescent="0.3">
      <c r="E42" s="2" t="s">
        <v>482</v>
      </c>
    </row>
    <row r="43" spans="3:5" x14ac:dyDescent="0.3">
      <c r="E43" s="2" t="s">
        <v>483</v>
      </c>
    </row>
    <row r="44" spans="3:5" x14ac:dyDescent="0.3">
      <c r="E44" s="2" t="s">
        <v>484</v>
      </c>
    </row>
    <row r="45" spans="3:5" x14ac:dyDescent="0.3">
      <c r="E45" s="2" t="s">
        <v>485</v>
      </c>
    </row>
    <row r="46" spans="3:5" x14ac:dyDescent="0.3">
      <c r="E46" s="2" t="s">
        <v>486</v>
      </c>
    </row>
    <row r="47" spans="3:5" x14ac:dyDescent="0.3">
      <c r="E47" s="2" t="s">
        <v>487</v>
      </c>
    </row>
    <row r="48" spans="3:5" x14ac:dyDescent="0.3">
      <c r="E48" s="2" t="s">
        <v>488</v>
      </c>
    </row>
    <row r="49" spans="5:5" x14ac:dyDescent="0.3">
      <c r="E49" s="2" t="s">
        <v>489</v>
      </c>
    </row>
    <row r="50" spans="5:5" x14ac:dyDescent="0.3">
      <c r="E50" s="2" t="s">
        <v>490</v>
      </c>
    </row>
    <row r="51" spans="5:5" x14ac:dyDescent="0.3">
      <c r="E51" s="2" t="s">
        <v>491</v>
      </c>
    </row>
    <row r="52" spans="5:5" x14ac:dyDescent="0.3">
      <c r="E52" s="2" t="s">
        <v>492</v>
      </c>
    </row>
    <row r="53" spans="5:5" x14ac:dyDescent="0.3">
      <c r="E53" s="2" t="s">
        <v>493</v>
      </c>
    </row>
    <row r="54" spans="5:5" x14ac:dyDescent="0.3">
      <c r="E54" s="2" t="s">
        <v>494</v>
      </c>
    </row>
    <row r="55" spans="5:5" x14ac:dyDescent="0.3">
      <c r="E55" s="2" t="s">
        <v>495</v>
      </c>
    </row>
    <row r="56" spans="5:5" x14ac:dyDescent="0.3">
      <c r="E56" s="2" t="s">
        <v>45</v>
      </c>
    </row>
    <row r="57" spans="5:5" x14ac:dyDescent="0.3">
      <c r="E57" s="2" t="s">
        <v>496</v>
      </c>
    </row>
    <row r="58" spans="5:5" x14ac:dyDescent="0.3">
      <c r="E58" s="2" t="s">
        <v>497</v>
      </c>
    </row>
    <row r="59" spans="5:5" x14ac:dyDescent="0.3">
      <c r="E59" s="2" t="s">
        <v>498</v>
      </c>
    </row>
    <row r="60" spans="5:5" x14ac:dyDescent="0.3">
      <c r="E60" s="2" t="s">
        <v>499</v>
      </c>
    </row>
    <row r="61" spans="5:5" x14ac:dyDescent="0.3">
      <c r="E61" s="2" t="s">
        <v>500</v>
      </c>
    </row>
    <row r="62" spans="5:5" x14ac:dyDescent="0.3">
      <c r="E62" s="2" t="s">
        <v>501</v>
      </c>
    </row>
    <row r="63" spans="5:5" x14ac:dyDescent="0.3">
      <c r="E63" s="2" t="s">
        <v>502</v>
      </c>
    </row>
    <row r="64" spans="5:5" x14ac:dyDescent="0.3">
      <c r="E64" s="2" t="s">
        <v>503</v>
      </c>
    </row>
    <row r="65" spans="5:5" x14ac:dyDescent="0.3">
      <c r="E65" s="2" t="s">
        <v>504</v>
      </c>
    </row>
    <row r="66" spans="5:5" x14ac:dyDescent="0.3">
      <c r="E66" s="2" t="s">
        <v>505</v>
      </c>
    </row>
    <row r="67" spans="5:5" x14ac:dyDescent="0.3">
      <c r="E67" s="2" t="s">
        <v>506</v>
      </c>
    </row>
    <row r="68" spans="5:5" x14ac:dyDescent="0.3">
      <c r="E68" s="2" t="s">
        <v>507</v>
      </c>
    </row>
    <row r="69" spans="5:5" x14ac:dyDescent="0.3">
      <c r="E69" s="2" t="s">
        <v>508</v>
      </c>
    </row>
    <row r="70" spans="5:5" x14ac:dyDescent="0.3">
      <c r="E70" s="2" t="s">
        <v>509</v>
      </c>
    </row>
    <row r="71" spans="5:5" x14ac:dyDescent="0.3">
      <c r="E71" s="2" t="s">
        <v>510</v>
      </c>
    </row>
    <row r="72" spans="5:5" x14ac:dyDescent="0.3">
      <c r="E72" s="2" t="s">
        <v>511</v>
      </c>
    </row>
    <row r="73" spans="5:5" x14ac:dyDescent="0.3">
      <c r="E73" s="2" t="s">
        <v>512</v>
      </c>
    </row>
    <row r="74" spans="5:5" x14ac:dyDescent="0.3">
      <c r="E74" s="2" t="s">
        <v>513</v>
      </c>
    </row>
    <row r="75" spans="5:5" x14ac:dyDescent="0.3">
      <c r="E75" s="2" t="s">
        <v>514</v>
      </c>
    </row>
    <row r="76" spans="5:5" x14ac:dyDescent="0.3">
      <c r="E76" s="2" t="s">
        <v>515</v>
      </c>
    </row>
    <row r="77" spans="5:5" x14ac:dyDescent="0.3">
      <c r="E77" s="2" t="s">
        <v>516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377" r:id="rId3" name="btnGenerateFinancials">
              <controlPr defaultSize="0" print="0" autoFill="0" autoPict="0" macro="[0]!Refresh_Financials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1270000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ABEA-5741-43EA-8452-BFB0DB031857}">
  <sheetPr codeName="Sheet162"/>
  <dimension ref="A1:J272"/>
  <sheetViews>
    <sheetView topLeftCell="B1" workbookViewId="0">
      <selection activeCell="J1" sqref="J1"/>
    </sheetView>
  </sheetViews>
  <sheetFormatPr defaultRowHeight="14" x14ac:dyDescent="0.3"/>
  <cols>
    <col min="1" max="1" width="62.6328125" style="2" bestFit="1" customWidth="1"/>
    <col min="2" max="2" width="25.81640625" style="2" bestFit="1" customWidth="1"/>
    <col min="3" max="3" width="16.08984375" style="2" bestFit="1" customWidth="1"/>
    <col min="4" max="4" width="14.453125" style="2" bestFit="1" customWidth="1"/>
    <col min="5" max="5" width="24.7265625" style="2" bestFit="1" customWidth="1"/>
    <col min="6" max="6" width="24.6328125" style="2" bestFit="1" customWidth="1"/>
    <col min="7" max="7" width="17.08984375" style="2" bestFit="1" customWidth="1"/>
    <col min="8" max="8" width="15.1796875" style="2" bestFit="1" customWidth="1"/>
    <col min="9" max="9" width="15.54296875" style="2" bestFit="1" customWidth="1"/>
    <col min="10" max="10" width="41.81640625" style="2" bestFit="1" customWidth="1"/>
    <col min="11" max="16384" width="8.7265625" style="2"/>
  </cols>
  <sheetData>
    <row r="1" spans="1:10" x14ac:dyDescent="0.3">
      <c r="A1" s="1" t="s">
        <v>109</v>
      </c>
      <c r="B1" s="1" t="s">
        <v>110</v>
      </c>
      <c r="C1" s="1" t="s">
        <v>111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116</v>
      </c>
      <c r="I1" s="1" t="s">
        <v>117</v>
      </c>
      <c r="J1" s="1" t="s">
        <v>118</v>
      </c>
    </row>
    <row r="2" spans="1:10" x14ac:dyDescent="0.3">
      <c r="A2" s="1" t="s">
        <v>517</v>
      </c>
      <c r="B2" s="1"/>
      <c r="C2" s="1">
        <v>46577665.270000003</v>
      </c>
      <c r="D2" s="1"/>
      <c r="E2" s="1">
        <f>tblTrialBalance[[#This Row],[Opening Balance (CY)]]+tblTrialBalance[[#This Row],[Debit (CY)]]-tblTrialBalance[[#This Row],[Credit (CY)]]</f>
        <v>46577665.270000003</v>
      </c>
      <c r="F2" s="1" t="s">
        <v>765</v>
      </c>
      <c r="G2" s="1" t="s">
        <v>766</v>
      </c>
      <c r="H2" s="1"/>
      <c r="I2" s="1"/>
      <c r="J2" s="1" t="s">
        <v>30</v>
      </c>
    </row>
    <row r="3" spans="1:10" x14ac:dyDescent="0.3">
      <c r="A3" s="2" t="s">
        <v>518</v>
      </c>
      <c r="C3" s="2">
        <v>-1906638.26</v>
      </c>
      <c r="E3" s="2">
        <f>tblTrialBalance[[#This Row],[Opening Balance (CY)]]+tblTrialBalance[[#This Row],[Debit (CY)]]-tblTrialBalance[[#This Row],[Credit (CY)]]</f>
        <v>-1906638.26</v>
      </c>
      <c r="F3" s="2" t="s">
        <v>765</v>
      </c>
      <c r="G3" s="1" t="s">
        <v>766</v>
      </c>
      <c r="J3" s="2" t="s">
        <v>445</v>
      </c>
    </row>
    <row r="4" spans="1:10" x14ac:dyDescent="0.3">
      <c r="A4" s="2" t="s">
        <v>446</v>
      </c>
      <c r="C4" s="2">
        <v>-40224.730000000003</v>
      </c>
      <c r="E4" s="2">
        <f>tblTrialBalance[[#This Row],[Opening Balance (CY)]]+tblTrialBalance[[#This Row],[Debit (CY)]]-tblTrialBalance[[#This Row],[Credit (CY)]]</f>
        <v>-40224.730000000003</v>
      </c>
      <c r="F4" s="2" t="s">
        <v>765</v>
      </c>
      <c r="G4" s="1" t="s">
        <v>766</v>
      </c>
      <c r="J4" s="2" t="s">
        <v>446</v>
      </c>
    </row>
    <row r="5" spans="1:10" x14ac:dyDescent="0.3">
      <c r="A5" s="2" t="s">
        <v>519</v>
      </c>
      <c r="C5" s="2">
        <v>2663248</v>
      </c>
      <c r="E5" s="2">
        <f>tblTrialBalance[[#This Row],[Opening Balance (CY)]]+tblTrialBalance[[#This Row],[Debit (CY)]]-tblTrialBalance[[#This Row],[Credit (CY)]]</f>
        <v>2663248</v>
      </c>
      <c r="F5" s="2" t="s">
        <v>765</v>
      </c>
      <c r="G5" s="1" t="s">
        <v>766</v>
      </c>
      <c r="J5" s="2" t="s">
        <v>446</v>
      </c>
    </row>
    <row r="6" spans="1:10" x14ac:dyDescent="0.3">
      <c r="A6" s="2" t="s">
        <v>520</v>
      </c>
      <c r="C6" s="2">
        <v>52566.36</v>
      </c>
      <c r="E6" s="2">
        <f>tblTrialBalance[[#This Row],[Opening Balance (CY)]]+tblTrialBalance[[#This Row],[Debit (CY)]]-tblTrialBalance[[#This Row],[Credit (CY)]]</f>
        <v>52566.36</v>
      </c>
      <c r="F6" s="2" t="s">
        <v>765</v>
      </c>
      <c r="G6" s="1" t="s">
        <v>766</v>
      </c>
      <c r="J6" s="2" t="s">
        <v>446</v>
      </c>
    </row>
    <row r="7" spans="1:10" x14ac:dyDescent="0.3">
      <c r="A7" s="2" t="s">
        <v>521</v>
      </c>
      <c r="C7" s="2">
        <v>158337.65</v>
      </c>
      <c r="E7" s="2">
        <f>tblTrialBalance[[#This Row],[Opening Balance (CY)]]+tblTrialBalance[[#This Row],[Debit (CY)]]-tblTrialBalance[[#This Row],[Credit (CY)]]</f>
        <v>158337.65</v>
      </c>
      <c r="F7" s="2" t="s">
        <v>765</v>
      </c>
      <c r="G7" s="1" t="s">
        <v>766</v>
      </c>
      <c r="J7" s="2" t="s">
        <v>446</v>
      </c>
    </row>
    <row r="8" spans="1:10" x14ac:dyDescent="0.3">
      <c r="A8" s="2" t="s">
        <v>522</v>
      </c>
      <c r="C8" s="2">
        <v>10000</v>
      </c>
      <c r="E8" s="2">
        <f>tblTrialBalance[[#This Row],[Opening Balance (CY)]]+tblTrialBalance[[#This Row],[Debit (CY)]]-tblTrialBalance[[#This Row],[Credit (CY)]]</f>
        <v>10000</v>
      </c>
      <c r="F8" s="2" t="s">
        <v>765</v>
      </c>
      <c r="G8" s="1" t="s">
        <v>766</v>
      </c>
      <c r="J8" s="2" t="s">
        <v>447</v>
      </c>
    </row>
    <row r="9" spans="1:10" x14ac:dyDescent="0.3">
      <c r="A9" s="2" t="s">
        <v>523</v>
      </c>
      <c r="C9" s="2">
        <v>250379</v>
      </c>
      <c r="E9" s="2">
        <f>tblTrialBalance[[#This Row],[Opening Balance (CY)]]+tblTrialBalance[[#This Row],[Debit (CY)]]-tblTrialBalance[[#This Row],[Credit (CY)]]</f>
        <v>250379</v>
      </c>
      <c r="F9" s="2" t="s">
        <v>765</v>
      </c>
      <c r="G9" s="1" t="s">
        <v>766</v>
      </c>
      <c r="J9" s="2" t="s">
        <v>447</v>
      </c>
    </row>
    <row r="10" spans="1:10" x14ac:dyDescent="0.3">
      <c r="A10" s="2" t="s">
        <v>524</v>
      </c>
      <c r="C10" s="2">
        <v>660000</v>
      </c>
      <c r="E10" s="2">
        <f>tblTrialBalance[[#This Row],[Opening Balance (CY)]]+tblTrialBalance[[#This Row],[Debit (CY)]]-tblTrialBalance[[#This Row],[Credit (CY)]]</f>
        <v>660000</v>
      </c>
      <c r="F10" s="2" t="s">
        <v>765</v>
      </c>
      <c r="G10" s="1" t="s">
        <v>766</v>
      </c>
      <c r="J10" s="2" t="s">
        <v>447</v>
      </c>
    </row>
    <row r="11" spans="1:10" x14ac:dyDescent="0.3">
      <c r="A11" s="2" t="s">
        <v>525</v>
      </c>
      <c r="C11" s="2">
        <v>1417190</v>
      </c>
      <c r="E11" s="2">
        <f>tblTrialBalance[[#This Row],[Opening Balance (CY)]]+tblTrialBalance[[#This Row],[Debit (CY)]]-tblTrialBalance[[#This Row],[Credit (CY)]]</f>
        <v>1417190</v>
      </c>
      <c r="F11" s="2" t="s">
        <v>765</v>
      </c>
      <c r="G11" s="1" t="s">
        <v>766</v>
      </c>
      <c r="J11" s="2" t="s">
        <v>447</v>
      </c>
    </row>
    <row r="12" spans="1:10" x14ac:dyDescent="0.3">
      <c r="A12" s="2" t="s">
        <v>526</v>
      </c>
      <c r="C12" s="2">
        <v>1080000</v>
      </c>
      <c r="E12" s="2">
        <f>tblTrialBalance[[#This Row],[Opening Balance (CY)]]+tblTrialBalance[[#This Row],[Debit (CY)]]-tblTrialBalance[[#This Row],[Credit (CY)]]</f>
        <v>1080000</v>
      </c>
      <c r="F12" s="2" t="s">
        <v>765</v>
      </c>
      <c r="G12" s="1" t="s">
        <v>766</v>
      </c>
      <c r="J12" s="2" t="s">
        <v>447</v>
      </c>
    </row>
    <row r="13" spans="1:10" x14ac:dyDescent="0.3">
      <c r="A13" s="2" t="s">
        <v>527</v>
      </c>
      <c r="C13" s="2">
        <v>145000</v>
      </c>
      <c r="E13" s="2">
        <f>tblTrialBalance[[#This Row],[Opening Balance (CY)]]+tblTrialBalance[[#This Row],[Debit (CY)]]-tblTrialBalance[[#This Row],[Credit (CY)]]</f>
        <v>145000</v>
      </c>
      <c r="F13" s="2" t="s">
        <v>765</v>
      </c>
      <c r="G13" s="1" t="s">
        <v>766</v>
      </c>
      <c r="J13" s="2" t="s">
        <v>447</v>
      </c>
    </row>
    <row r="14" spans="1:10" x14ac:dyDescent="0.3">
      <c r="A14" s="2" t="s">
        <v>528</v>
      </c>
      <c r="C14" s="2">
        <v>736596</v>
      </c>
      <c r="E14" s="2">
        <f>tblTrialBalance[[#This Row],[Opening Balance (CY)]]+tblTrialBalance[[#This Row],[Debit (CY)]]-tblTrialBalance[[#This Row],[Credit (CY)]]</f>
        <v>736596</v>
      </c>
      <c r="F14" s="2" t="s">
        <v>765</v>
      </c>
      <c r="G14" s="1" t="s">
        <v>766</v>
      </c>
      <c r="J14" s="2" t="s">
        <v>447</v>
      </c>
    </row>
    <row r="15" spans="1:10" x14ac:dyDescent="0.3">
      <c r="A15" s="2" t="s">
        <v>529</v>
      </c>
      <c r="C15" s="2">
        <v>2000</v>
      </c>
      <c r="E15" s="2">
        <f>tblTrialBalance[[#This Row],[Opening Balance (CY)]]+tblTrialBalance[[#This Row],[Debit (CY)]]-tblTrialBalance[[#This Row],[Credit (CY)]]</f>
        <v>2000</v>
      </c>
      <c r="F15" s="2" t="s">
        <v>765</v>
      </c>
      <c r="G15" s="1" t="s">
        <v>766</v>
      </c>
      <c r="J15" s="2" t="s">
        <v>447</v>
      </c>
    </row>
    <row r="16" spans="1:10" x14ac:dyDescent="0.3">
      <c r="A16" s="2" t="s">
        <v>530</v>
      </c>
      <c r="C16" s="2">
        <v>57000</v>
      </c>
      <c r="E16" s="2">
        <f>tblTrialBalance[[#This Row],[Opening Balance (CY)]]+tblTrialBalance[[#This Row],[Debit (CY)]]-tblTrialBalance[[#This Row],[Credit (CY)]]</f>
        <v>57000</v>
      </c>
      <c r="F16" s="2" t="s">
        <v>765</v>
      </c>
      <c r="G16" s="1" t="s">
        <v>766</v>
      </c>
      <c r="J16" s="2" t="s">
        <v>447</v>
      </c>
    </row>
    <row r="17" spans="1:10" x14ac:dyDescent="0.3">
      <c r="A17" s="2" t="s">
        <v>531</v>
      </c>
      <c r="C17" s="2">
        <v>750000</v>
      </c>
      <c r="E17" s="2">
        <f>tblTrialBalance[[#This Row],[Opening Balance (CY)]]+tblTrialBalance[[#This Row],[Debit (CY)]]-tblTrialBalance[[#This Row],[Credit (CY)]]</f>
        <v>750000</v>
      </c>
      <c r="F17" s="2" t="s">
        <v>765</v>
      </c>
      <c r="G17" s="1" t="s">
        <v>766</v>
      </c>
      <c r="J17" s="2" t="s">
        <v>445</v>
      </c>
    </row>
    <row r="18" spans="1:10" x14ac:dyDescent="0.3">
      <c r="A18" s="2" t="s">
        <v>448</v>
      </c>
      <c r="C18" s="2">
        <v>10571351.57</v>
      </c>
      <c r="E18" s="2">
        <f>tblTrialBalance[[#This Row],[Opening Balance (CY)]]+tblTrialBalance[[#This Row],[Debit (CY)]]-tblTrialBalance[[#This Row],[Credit (CY)]]</f>
        <v>10571351.57</v>
      </c>
      <c r="F18" s="2" t="s">
        <v>765</v>
      </c>
      <c r="G18" s="1" t="s">
        <v>766</v>
      </c>
      <c r="J18" s="2" t="s">
        <v>448</v>
      </c>
    </row>
    <row r="19" spans="1:10" x14ac:dyDescent="0.3">
      <c r="A19" s="2" t="s">
        <v>449</v>
      </c>
      <c r="C19" s="2">
        <v>2295238.2000000002</v>
      </c>
      <c r="E19" s="2">
        <f>tblTrialBalance[[#This Row],[Opening Balance (CY)]]+tblTrialBalance[[#This Row],[Debit (CY)]]-tblTrialBalance[[#This Row],[Credit (CY)]]</f>
        <v>2295238.2000000002</v>
      </c>
      <c r="F19" s="2" t="s">
        <v>765</v>
      </c>
      <c r="G19" s="1" t="s">
        <v>766</v>
      </c>
      <c r="J19" s="2" t="s">
        <v>449</v>
      </c>
    </row>
    <row r="20" spans="1:10" x14ac:dyDescent="0.3">
      <c r="A20" s="2" t="s">
        <v>532</v>
      </c>
      <c r="C20" s="2">
        <v>251000</v>
      </c>
      <c r="E20" s="2">
        <f>tblTrialBalance[[#This Row],[Opening Balance (CY)]]+tblTrialBalance[[#This Row],[Debit (CY)]]-tblTrialBalance[[#This Row],[Credit (CY)]]</f>
        <v>251000</v>
      </c>
      <c r="F20" s="2" t="s">
        <v>765</v>
      </c>
      <c r="G20" s="1" t="s">
        <v>766</v>
      </c>
      <c r="J20" s="2" t="s">
        <v>449</v>
      </c>
    </row>
    <row r="21" spans="1:10" x14ac:dyDescent="0.3">
      <c r="A21" s="2" t="s">
        <v>533</v>
      </c>
      <c r="C21" s="2">
        <v>30000</v>
      </c>
      <c r="E21" s="2">
        <f>tblTrialBalance[[#This Row],[Opening Balance (CY)]]+tblTrialBalance[[#This Row],[Debit (CY)]]-tblTrialBalance[[#This Row],[Credit (CY)]]</f>
        <v>30000</v>
      </c>
      <c r="F21" s="2" t="s">
        <v>765</v>
      </c>
      <c r="G21" s="1" t="s">
        <v>766</v>
      </c>
      <c r="J21" s="2" t="s">
        <v>449</v>
      </c>
    </row>
    <row r="22" spans="1:10" x14ac:dyDescent="0.3">
      <c r="A22" s="2" t="s">
        <v>534</v>
      </c>
      <c r="C22" s="2">
        <v>175613.88</v>
      </c>
      <c r="E22" s="2">
        <f>tblTrialBalance[[#This Row],[Opening Balance (CY)]]+tblTrialBalance[[#This Row],[Debit (CY)]]-tblTrialBalance[[#This Row],[Credit (CY)]]</f>
        <v>175613.88</v>
      </c>
      <c r="F22" s="2" t="s">
        <v>765</v>
      </c>
      <c r="G22" s="1" t="s">
        <v>766</v>
      </c>
      <c r="J22" s="2" t="s">
        <v>450</v>
      </c>
    </row>
    <row r="23" spans="1:10" x14ac:dyDescent="0.3">
      <c r="A23" s="2" t="s">
        <v>535</v>
      </c>
      <c r="C23" s="2">
        <v>260219.63</v>
      </c>
      <c r="E23" s="2">
        <f>tblTrialBalance[[#This Row],[Opening Balance (CY)]]+tblTrialBalance[[#This Row],[Debit (CY)]]-tblTrialBalance[[#This Row],[Credit (CY)]]</f>
        <v>260219.63</v>
      </c>
      <c r="F23" s="2" t="s">
        <v>765</v>
      </c>
      <c r="G23" s="1" t="s">
        <v>766</v>
      </c>
      <c r="J23" s="2" t="s">
        <v>450</v>
      </c>
    </row>
    <row r="24" spans="1:10" x14ac:dyDescent="0.3">
      <c r="A24" s="2" t="s">
        <v>451</v>
      </c>
      <c r="C24" s="2">
        <v>909017.07</v>
      </c>
      <c r="E24" s="2">
        <f>tblTrialBalance[[#This Row],[Opening Balance (CY)]]+tblTrialBalance[[#This Row],[Debit (CY)]]-tblTrialBalance[[#This Row],[Credit (CY)]]</f>
        <v>909017.07</v>
      </c>
      <c r="F24" s="2" t="s">
        <v>765</v>
      </c>
      <c r="G24" s="1" t="s">
        <v>766</v>
      </c>
      <c r="J24" s="2" t="s">
        <v>451</v>
      </c>
    </row>
    <row r="25" spans="1:10" x14ac:dyDescent="0.3">
      <c r="A25" s="2" t="s">
        <v>536</v>
      </c>
      <c r="C25" s="2">
        <v>13448852.17</v>
      </c>
      <c r="E25" s="2">
        <f>tblTrialBalance[[#This Row],[Opening Balance (CY)]]+tblTrialBalance[[#This Row],[Debit (CY)]]-tblTrialBalance[[#This Row],[Credit (CY)]]</f>
        <v>13448852.17</v>
      </c>
      <c r="F25" s="2" t="s">
        <v>765</v>
      </c>
      <c r="G25" s="1" t="s">
        <v>766</v>
      </c>
      <c r="J25" s="2" t="s">
        <v>452</v>
      </c>
    </row>
    <row r="26" spans="1:10" x14ac:dyDescent="0.3">
      <c r="A26" s="2" t="s">
        <v>537</v>
      </c>
      <c r="C26" s="2">
        <v>8397860.5399999991</v>
      </c>
      <c r="E26" s="2">
        <f>tblTrialBalance[[#This Row],[Opening Balance (CY)]]+tblTrialBalance[[#This Row],[Debit (CY)]]-tblTrialBalance[[#This Row],[Credit (CY)]]</f>
        <v>8397860.5399999991</v>
      </c>
      <c r="F26" s="2" t="s">
        <v>765</v>
      </c>
      <c r="G26" s="1" t="s">
        <v>766</v>
      </c>
      <c r="J26" s="2" t="s">
        <v>452</v>
      </c>
    </row>
    <row r="27" spans="1:10" x14ac:dyDescent="0.3">
      <c r="A27" s="2" t="s">
        <v>538</v>
      </c>
      <c r="C27" s="2">
        <v>13448790.18</v>
      </c>
      <c r="E27" s="2">
        <f>tblTrialBalance[[#This Row],[Opening Balance (CY)]]+tblTrialBalance[[#This Row],[Debit (CY)]]-tblTrialBalance[[#This Row],[Credit (CY)]]</f>
        <v>13448790.18</v>
      </c>
      <c r="F27" s="2" t="s">
        <v>765</v>
      </c>
      <c r="G27" s="1" t="s">
        <v>766</v>
      </c>
      <c r="J27" s="2" t="s">
        <v>452</v>
      </c>
    </row>
    <row r="28" spans="1:10" x14ac:dyDescent="0.3">
      <c r="A28" s="2" t="s">
        <v>539</v>
      </c>
      <c r="C28" s="2">
        <v>30689623.66</v>
      </c>
      <c r="E28" s="2">
        <f>tblTrialBalance[[#This Row],[Opening Balance (CY)]]+tblTrialBalance[[#This Row],[Debit (CY)]]-tblTrialBalance[[#This Row],[Credit (CY)]]</f>
        <v>30689623.66</v>
      </c>
      <c r="F28" s="2" t="s">
        <v>765</v>
      </c>
      <c r="G28" s="1" t="s">
        <v>766</v>
      </c>
      <c r="J28" s="2" t="s">
        <v>448</v>
      </c>
    </row>
    <row r="29" spans="1:10" x14ac:dyDescent="0.3">
      <c r="A29" s="2" t="s">
        <v>453</v>
      </c>
      <c r="C29" s="2">
        <v>316000</v>
      </c>
      <c r="E29" s="2">
        <f>tblTrialBalance[[#This Row],[Opening Balance (CY)]]+tblTrialBalance[[#This Row],[Debit (CY)]]-tblTrialBalance[[#This Row],[Credit (CY)]]</f>
        <v>316000</v>
      </c>
      <c r="F29" s="2" t="s">
        <v>765</v>
      </c>
      <c r="G29" s="1" t="s">
        <v>766</v>
      </c>
      <c r="J29" s="2" t="s">
        <v>453</v>
      </c>
    </row>
    <row r="30" spans="1:10" x14ac:dyDescent="0.3">
      <c r="A30" s="2" t="s">
        <v>540</v>
      </c>
      <c r="C30" s="2">
        <v>37798.050000000003</v>
      </c>
      <c r="E30" s="2">
        <f>tblTrialBalance[[#This Row],[Opening Balance (CY)]]+tblTrialBalance[[#This Row],[Debit (CY)]]-tblTrialBalance[[#This Row],[Credit (CY)]]</f>
        <v>37798.050000000003</v>
      </c>
      <c r="F30" s="2" t="s">
        <v>765</v>
      </c>
      <c r="G30" s="1" t="s">
        <v>766</v>
      </c>
      <c r="J30" s="2" t="s">
        <v>454</v>
      </c>
    </row>
    <row r="31" spans="1:10" x14ac:dyDescent="0.3">
      <c r="A31" s="2" t="s">
        <v>541</v>
      </c>
      <c r="C31" s="2">
        <v>91759.6</v>
      </c>
      <c r="E31" s="2">
        <f>tblTrialBalance[[#This Row],[Opening Balance (CY)]]+tblTrialBalance[[#This Row],[Debit (CY)]]-tblTrialBalance[[#This Row],[Credit (CY)]]</f>
        <v>91759.6</v>
      </c>
      <c r="F31" s="2" t="s">
        <v>765</v>
      </c>
      <c r="G31" s="1" t="s">
        <v>766</v>
      </c>
      <c r="J31" s="2" t="s">
        <v>454</v>
      </c>
    </row>
    <row r="32" spans="1:10" x14ac:dyDescent="0.3">
      <c r="A32" s="2" t="s">
        <v>542</v>
      </c>
      <c r="C32" s="2">
        <v>21170</v>
      </c>
      <c r="E32" s="2">
        <f>tblTrialBalance[[#This Row],[Opening Balance (CY)]]+tblTrialBalance[[#This Row],[Debit (CY)]]-tblTrialBalance[[#This Row],[Credit (CY)]]</f>
        <v>21170</v>
      </c>
      <c r="F32" s="2" t="s">
        <v>765</v>
      </c>
      <c r="G32" s="1" t="s">
        <v>766</v>
      </c>
      <c r="J32" s="2" t="s">
        <v>454</v>
      </c>
    </row>
    <row r="33" spans="1:10" x14ac:dyDescent="0.3">
      <c r="A33" s="2" t="s">
        <v>543</v>
      </c>
      <c r="C33" s="2">
        <v>156505.96</v>
      </c>
      <c r="E33" s="2">
        <f>tblTrialBalance[[#This Row],[Opening Balance (CY)]]+tblTrialBalance[[#This Row],[Debit (CY)]]-tblTrialBalance[[#This Row],[Credit (CY)]]</f>
        <v>156505.96</v>
      </c>
      <c r="F33" s="2" t="s">
        <v>765</v>
      </c>
      <c r="G33" s="1" t="s">
        <v>766</v>
      </c>
      <c r="J33" s="2" t="s">
        <v>454</v>
      </c>
    </row>
    <row r="34" spans="1:10" x14ac:dyDescent="0.3">
      <c r="A34" s="2" t="s">
        <v>544</v>
      </c>
      <c r="C34" s="2">
        <v>22193</v>
      </c>
      <c r="E34" s="2">
        <f>tblTrialBalance[[#This Row],[Opening Balance (CY)]]+tblTrialBalance[[#This Row],[Debit (CY)]]-tblTrialBalance[[#This Row],[Credit (CY)]]</f>
        <v>22193</v>
      </c>
      <c r="F34" s="2" t="s">
        <v>765</v>
      </c>
      <c r="G34" s="1" t="s">
        <v>766</v>
      </c>
      <c r="J34" s="2" t="s">
        <v>454</v>
      </c>
    </row>
    <row r="35" spans="1:10" x14ac:dyDescent="0.3">
      <c r="A35" s="2" t="s">
        <v>545</v>
      </c>
      <c r="C35" s="2">
        <v>12300</v>
      </c>
      <c r="E35" s="2">
        <f>tblTrialBalance[[#This Row],[Opening Balance (CY)]]+tblTrialBalance[[#This Row],[Debit (CY)]]-tblTrialBalance[[#This Row],[Credit (CY)]]</f>
        <v>12300</v>
      </c>
      <c r="F35" s="2" t="s">
        <v>765</v>
      </c>
      <c r="G35" s="1" t="s">
        <v>766</v>
      </c>
      <c r="J35" s="2" t="s">
        <v>454</v>
      </c>
    </row>
    <row r="36" spans="1:10" x14ac:dyDescent="0.3">
      <c r="A36" s="2" t="s">
        <v>546</v>
      </c>
      <c r="C36" s="2">
        <v>1391697.2</v>
      </c>
      <c r="E36" s="2">
        <f>tblTrialBalance[[#This Row],[Opening Balance (CY)]]+tblTrialBalance[[#This Row],[Debit (CY)]]-tblTrialBalance[[#This Row],[Credit (CY)]]</f>
        <v>1391697.2</v>
      </c>
      <c r="F36" s="2" t="s">
        <v>765</v>
      </c>
      <c r="G36" s="1" t="s">
        <v>766</v>
      </c>
      <c r="J36" s="2" t="s">
        <v>454</v>
      </c>
    </row>
    <row r="37" spans="1:10" x14ac:dyDescent="0.3">
      <c r="A37" s="2" t="s">
        <v>547</v>
      </c>
      <c r="C37" s="2">
        <v>27783</v>
      </c>
      <c r="E37" s="2">
        <f>tblTrialBalance[[#This Row],[Opening Balance (CY)]]+tblTrialBalance[[#This Row],[Debit (CY)]]-tblTrialBalance[[#This Row],[Credit (CY)]]</f>
        <v>27783</v>
      </c>
      <c r="F37" s="2" t="s">
        <v>765</v>
      </c>
      <c r="G37" s="1" t="s">
        <v>766</v>
      </c>
      <c r="J37" s="2" t="s">
        <v>454</v>
      </c>
    </row>
    <row r="38" spans="1:10" x14ac:dyDescent="0.3">
      <c r="A38" s="2" t="s">
        <v>548</v>
      </c>
      <c r="C38" s="2">
        <v>6500</v>
      </c>
      <c r="E38" s="2">
        <f>tblTrialBalance[[#This Row],[Opening Balance (CY)]]+tblTrialBalance[[#This Row],[Debit (CY)]]-tblTrialBalance[[#This Row],[Credit (CY)]]</f>
        <v>6500</v>
      </c>
      <c r="F38" s="2" t="s">
        <v>765</v>
      </c>
      <c r="G38" s="1" t="s">
        <v>766</v>
      </c>
      <c r="J38" s="2" t="s">
        <v>454</v>
      </c>
    </row>
    <row r="39" spans="1:10" x14ac:dyDescent="0.3">
      <c r="A39" s="2" t="s">
        <v>549</v>
      </c>
      <c r="C39" s="2">
        <v>59773.37</v>
      </c>
      <c r="E39" s="2">
        <f>tblTrialBalance[[#This Row],[Opening Balance (CY)]]+tblTrialBalance[[#This Row],[Debit (CY)]]-tblTrialBalance[[#This Row],[Credit (CY)]]</f>
        <v>59773.37</v>
      </c>
      <c r="F39" s="2" t="s">
        <v>765</v>
      </c>
      <c r="G39" s="1" t="s">
        <v>766</v>
      </c>
      <c r="J39" s="2" t="s">
        <v>454</v>
      </c>
    </row>
    <row r="40" spans="1:10" x14ac:dyDescent="0.3">
      <c r="A40" s="2" t="s">
        <v>550</v>
      </c>
      <c r="C40" s="2">
        <v>21610</v>
      </c>
      <c r="E40" s="2">
        <f>tblTrialBalance[[#This Row],[Opening Balance (CY)]]+tblTrialBalance[[#This Row],[Debit (CY)]]-tblTrialBalance[[#This Row],[Credit (CY)]]</f>
        <v>21610</v>
      </c>
      <c r="F40" s="2" t="s">
        <v>765</v>
      </c>
      <c r="G40" s="1" t="s">
        <v>766</v>
      </c>
      <c r="J40" s="2" t="s">
        <v>454</v>
      </c>
    </row>
    <row r="41" spans="1:10" x14ac:dyDescent="0.3">
      <c r="A41" s="2" t="s">
        <v>551</v>
      </c>
      <c r="C41" s="2">
        <v>379660</v>
      </c>
      <c r="E41" s="2">
        <f>tblTrialBalance[[#This Row],[Opening Balance (CY)]]+tblTrialBalance[[#This Row],[Debit (CY)]]-tblTrialBalance[[#This Row],[Credit (CY)]]</f>
        <v>379660</v>
      </c>
      <c r="F41" s="2" t="s">
        <v>765</v>
      </c>
      <c r="G41" s="1" t="s">
        <v>766</v>
      </c>
      <c r="J41" s="2" t="s">
        <v>454</v>
      </c>
    </row>
    <row r="42" spans="1:10" x14ac:dyDescent="0.3">
      <c r="A42" s="2" t="s">
        <v>552</v>
      </c>
      <c r="C42" s="2">
        <v>27962</v>
      </c>
      <c r="E42" s="2">
        <f>tblTrialBalance[[#This Row],[Opening Balance (CY)]]+tblTrialBalance[[#This Row],[Debit (CY)]]-tblTrialBalance[[#This Row],[Credit (CY)]]</f>
        <v>27962</v>
      </c>
      <c r="F42" s="2" t="s">
        <v>765</v>
      </c>
      <c r="G42" s="1" t="s">
        <v>766</v>
      </c>
      <c r="J42" s="2" t="s">
        <v>454</v>
      </c>
    </row>
    <row r="43" spans="1:10" x14ac:dyDescent="0.3">
      <c r="A43" s="2" t="s">
        <v>553</v>
      </c>
      <c r="C43" s="2">
        <v>106390</v>
      </c>
      <c r="E43" s="2">
        <f>tblTrialBalance[[#This Row],[Opening Balance (CY)]]+tblTrialBalance[[#This Row],[Debit (CY)]]-tblTrialBalance[[#This Row],[Credit (CY)]]</f>
        <v>106390</v>
      </c>
      <c r="F43" s="2" t="s">
        <v>765</v>
      </c>
      <c r="G43" s="1" t="s">
        <v>766</v>
      </c>
      <c r="J43" s="2" t="s">
        <v>454</v>
      </c>
    </row>
    <row r="44" spans="1:10" x14ac:dyDescent="0.3">
      <c r="A44" s="2" t="s">
        <v>554</v>
      </c>
      <c r="C44" s="2">
        <v>8050</v>
      </c>
      <c r="E44" s="2">
        <f>tblTrialBalance[[#This Row],[Opening Balance (CY)]]+tblTrialBalance[[#This Row],[Debit (CY)]]-tblTrialBalance[[#This Row],[Credit (CY)]]</f>
        <v>8050</v>
      </c>
      <c r="F44" s="2" t="s">
        <v>765</v>
      </c>
      <c r="G44" s="1" t="s">
        <v>766</v>
      </c>
      <c r="J44" s="2" t="s">
        <v>454</v>
      </c>
    </row>
    <row r="45" spans="1:10" x14ac:dyDescent="0.3">
      <c r="A45" s="2" t="s">
        <v>555</v>
      </c>
      <c r="C45" s="2">
        <v>34133.199999999997</v>
      </c>
      <c r="E45" s="2">
        <f>tblTrialBalance[[#This Row],[Opening Balance (CY)]]+tblTrialBalance[[#This Row],[Debit (CY)]]-tblTrialBalance[[#This Row],[Credit (CY)]]</f>
        <v>34133.199999999997</v>
      </c>
      <c r="F45" s="2" t="s">
        <v>765</v>
      </c>
      <c r="G45" s="1" t="s">
        <v>766</v>
      </c>
      <c r="J45" s="2" t="s">
        <v>454</v>
      </c>
    </row>
    <row r="46" spans="1:10" x14ac:dyDescent="0.3">
      <c r="A46" s="2" t="s">
        <v>556</v>
      </c>
      <c r="C46" s="2">
        <v>-1598315.49</v>
      </c>
      <c r="E46" s="2">
        <f>tblTrialBalance[[#This Row],[Opening Balance (CY)]]+tblTrialBalance[[#This Row],[Debit (CY)]]-tblTrialBalance[[#This Row],[Credit (CY)]]</f>
        <v>-1598315.49</v>
      </c>
      <c r="F46" s="2" t="s">
        <v>765</v>
      </c>
      <c r="G46" s="1" t="s">
        <v>766</v>
      </c>
      <c r="J46" s="2" t="s">
        <v>70</v>
      </c>
    </row>
    <row r="47" spans="1:10" x14ac:dyDescent="0.3">
      <c r="A47" s="2" t="s">
        <v>557</v>
      </c>
      <c r="C47" s="2">
        <v>252400</v>
      </c>
      <c r="E47" s="2">
        <f>tblTrialBalance[[#This Row],[Opening Balance (CY)]]+tblTrialBalance[[#This Row],[Debit (CY)]]-tblTrialBalance[[#This Row],[Credit (CY)]]</f>
        <v>252400</v>
      </c>
      <c r="F47" s="2" t="s">
        <v>765</v>
      </c>
      <c r="G47" s="1" t="s">
        <v>766</v>
      </c>
      <c r="J47" s="2" t="s">
        <v>70</v>
      </c>
    </row>
    <row r="48" spans="1:10" x14ac:dyDescent="0.3">
      <c r="A48" s="2" t="s">
        <v>558</v>
      </c>
      <c r="C48" s="2">
        <v>1200000</v>
      </c>
      <c r="E48" s="2">
        <f>tblTrialBalance[[#This Row],[Opening Balance (CY)]]+tblTrialBalance[[#This Row],[Debit (CY)]]-tblTrialBalance[[#This Row],[Credit (CY)]]</f>
        <v>1200000</v>
      </c>
      <c r="F48" s="2" t="s">
        <v>765</v>
      </c>
      <c r="G48" s="1" t="s">
        <v>766</v>
      </c>
      <c r="J48" s="2" t="s">
        <v>70</v>
      </c>
    </row>
    <row r="49" spans="1:10" x14ac:dyDescent="0.3">
      <c r="A49" s="2" t="s">
        <v>559</v>
      </c>
      <c r="C49" s="2">
        <v>165000</v>
      </c>
      <c r="E49" s="2">
        <f>tblTrialBalance[[#This Row],[Opening Balance (CY)]]+tblTrialBalance[[#This Row],[Debit (CY)]]-tblTrialBalance[[#This Row],[Credit (CY)]]</f>
        <v>165000</v>
      </c>
      <c r="F49" s="2" t="s">
        <v>765</v>
      </c>
      <c r="G49" s="1" t="s">
        <v>766</v>
      </c>
      <c r="J49" s="2" t="s">
        <v>70</v>
      </c>
    </row>
    <row r="50" spans="1:10" x14ac:dyDescent="0.3">
      <c r="A50" s="2" t="s">
        <v>560</v>
      </c>
      <c r="C50" s="2">
        <v>65000</v>
      </c>
      <c r="E50" s="2">
        <f>tblTrialBalance[[#This Row],[Opening Balance (CY)]]+tblTrialBalance[[#This Row],[Debit (CY)]]-tblTrialBalance[[#This Row],[Credit (CY)]]</f>
        <v>65000</v>
      </c>
      <c r="F50" s="2" t="s">
        <v>765</v>
      </c>
      <c r="G50" s="1" t="s">
        <v>766</v>
      </c>
      <c r="J50" s="2" t="s">
        <v>70</v>
      </c>
    </row>
    <row r="51" spans="1:10" x14ac:dyDescent="0.3">
      <c r="A51" s="2" t="s">
        <v>561</v>
      </c>
      <c r="C51" s="2">
        <v>1160000</v>
      </c>
      <c r="E51" s="2">
        <f>tblTrialBalance[[#This Row],[Opening Balance (CY)]]+tblTrialBalance[[#This Row],[Debit (CY)]]-tblTrialBalance[[#This Row],[Credit (CY)]]</f>
        <v>1160000</v>
      </c>
      <c r="F51" s="2" t="s">
        <v>765</v>
      </c>
      <c r="G51" s="1" t="s">
        <v>766</v>
      </c>
      <c r="J51" s="2" t="s">
        <v>70</v>
      </c>
    </row>
    <row r="52" spans="1:10" x14ac:dyDescent="0.3">
      <c r="A52" s="2" t="s">
        <v>562</v>
      </c>
      <c r="C52" s="2">
        <v>456000</v>
      </c>
      <c r="E52" s="2">
        <f>tblTrialBalance[[#This Row],[Opening Balance (CY)]]+tblTrialBalance[[#This Row],[Debit (CY)]]-tblTrialBalance[[#This Row],[Credit (CY)]]</f>
        <v>456000</v>
      </c>
      <c r="F52" s="2" t="s">
        <v>765</v>
      </c>
      <c r="G52" s="1" t="s">
        <v>766</v>
      </c>
      <c r="J52" s="2" t="s">
        <v>70</v>
      </c>
    </row>
    <row r="53" spans="1:10" x14ac:dyDescent="0.3">
      <c r="A53" s="2" t="s">
        <v>563</v>
      </c>
      <c r="C53" s="2">
        <v>516850</v>
      </c>
      <c r="E53" s="2">
        <f>tblTrialBalance[[#This Row],[Opening Balance (CY)]]+tblTrialBalance[[#This Row],[Debit (CY)]]-tblTrialBalance[[#This Row],[Credit (CY)]]</f>
        <v>516850</v>
      </c>
      <c r="F53" s="2" t="s">
        <v>765</v>
      </c>
      <c r="G53" s="1" t="s">
        <v>766</v>
      </c>
      <c r="J53" s="2" t="s">
        <v>70</v>
      </c>
    </row>
    <row r="54" spans="1:10" x14ac:dyDescent="0.3">
      <c r="A54" s="2" t="s">
        <v>564</v>
      </c>
      <c r="C54" s="2">
        <v>50000</v>
      </c>
      <c r="E54" s="2">
        <f>tblTrialBalance[[#This Row],[Opening Balance (CY)]]+tblTrialBalance[[#This Row],[Debit (CY)]]-tblTrialBalance[[#This Row],[Credit (CY)]]</f>
        <v>50000</v>
      </c>
      <c r="F54" s="2" t="s">
        <v>765</v>
      </c>
      <c r="G54" s="1" t="s">
        <v>766</v>
      </c>
      <c r="J54" s="2" t="s">
        <v>70</v>
      </c>
    </row>
    <row r="55" spans="1:10" x14ac:dyDescent="0.3">
      <c r="A55" s="2" t="s">
        <v>565</v>
      </c>
      <c r="C55" s="2">
        <v>1041834.04</v>
      </c>
      <c r="E55" s="2">
        <f>tblTrialBalance[[#This Row],[Opening Balance (CY)]]+tblTrialBalance[[#This Row],[Debit (CY)]]-tblTrialBalance[[#This Row],[Credit (CY)]]</f>
        <v>1041834.04</v>
      </c>
      <c r="F55" s="2" t="s">
        <v>765</v>
      </c>
      <c r="G55" s="1" t="s">
        <v>766</v>
      </c>
      <c r="J55" s="2" t="s">
        <v>70</v>
      </c>
    </row>
    <row r="56" spans="1:10" x14ac:dyDescent="0.3">
      <c r="A56" s="2" t="s">
        <v>566</v>
      </c>
      <c r="C56" s="2">
        <v>82315.92</v>
      </c>
      <c r="E56" s="2">
        <f>tblTrialBalance[[#This Row],[Opening Balance (CY)]]+tblTrialBalance[[#This Row],[Debit (CY)]]-tblTrialBalance[[#This Row],[Credit (CY)]]</f>
        <v>82315.92</v>
      </c>
      <c r="F56" s="2" t="s">
        <v>765</v>
      </c>
      <c r="G56" s="1" t="s">
        <v>766</v>
      </c>
      <c r="J56" s="2" t="s">
        <v>70</v>
      </c>
    </row>
    <row r="57" spans="1:10" x14ac:dyDescent="0.3">
      <c r="A57" s="2" t="s">
        <v>567</v>
      </c>
      <c r="C57" s="2">
        <v>1044715.82</v>
      </c>
      <c r="E57" s="2">
        <f>tblTrialBalance[[#This Row],[Opening Balance (CY)]]+tblTrialBalance[[#This Row],[Debit (CY)]]-tblTrialBalance[[#This Row],[Credit (CY)]]</f>
        <v>1044715.82</v>
      </c>
      <c r="F57" s="2" t="s">
        <v>765</v>
      </c>
      <c r="G57" s="1" t="s">
        <v>766</v>
      </c>
      <c r="J57" s="2" t="s">
        <v>70</v>
      </c>
    </row>
    <row r="58" spans="1:10" x14ac:dyDescent="0.3">
      <c r="A58" s="2" t="s">
        <v>568</v>
      </c>
      <c r="C58" s="2">
        <v>844379.22</v>
      </c>
      <c r="E58" s="2">
        <f>tblTrialBalance[[#This Row],[Opening Balance (CY)]]+tblTrialBalance[[#This Row],[Debit (CY)]]-tblTrialBalance[[#This Row],[Credit (CY)]]</f>
        <v>844379.22</v>
      </c>
      <c r="F58" s="2" t="s">
        <v>765</v>
      </c>
      <c r="G58" s="1" t="s">
        <v>766</v>
      </c>
      <c r="J58" s="2" t="s">
        <v>70</v>
      </c>
    </row>
    <row r="59" spans="1:10" x14ac:dyDescent="0.3">
      <c r="A59" s="2" t="s">
        <v>569</v>
      </c>
      <c r="C59" s="2">
        <v>40000</v>
      </c>
      <c r="E59" s="2">
        <f>tblTrialBalance[[#This Row],[Opening Balance (CY)]]+tblTrialBalance[[#This Row],[Debit (CY)]]-tblTrialBalance[[#This Row],[Credit (CY)]]</f>
        <v>40000</v>
      </c>
      <c r="F59" s="2" t="s">
        <v>765</v>
      </c>
      <c r="G59" s="1" t="s">
        <v>766</v>
      </c>
      <c r="J59" s="2" t="s">
        <v>70</v>
      </c>
    </row>
    <row r="60" spans="1:10" x14ac:dyDescent="0.3">
      <c r="A60" s="2" t="s">
        <v>570</v>
      </c>
      <c r="C60" s="2">
        <v>957875</v>
      </c>
      <c r="E60" s="2">
        <f>tblTrialBalance[[#This Row],[Opening Balance (CY)]]+tblTrialBalance[[#This Row],[Debit (CY)]]-tblTrialBalance[[#This Row],[Credit (CY)]]</f>
        <v>957875</v>
      </c>
      <c r="F60" s="2" t="s">
        <v>765</v>
      </c>
      <c r="G60" s="1" t="s">
        <v>766</v>
      </c>
      <c r="J60" s="2" t="s">
        <v>70</v>
      </c>
    </row>
    <row r="61" spans="1:10" x14ac:dyDescent="0.3">
      <c r="A61" s="2" t="s">
        <v>571</v>
      </c>
      <c r="C61" s="2">
        <v>605176</v>
      </c>
      <c r="E61" s="2">
        <f>tblTrialBalance[[#This Row],[Opening Balance (CY)]]+tblTrialBalance[[#This Row],[Debit (CY)]]-tblTrialBalance[[#This Row],[Credit (CY)]]</f>
        <v>605176</v>
      </c>
      <c r="F61" s="2" t="s">
        <v>765</v>
      </c>
      <c r="G61" s="1" t="s">
        <v>766</v>
      </c>
      <c r="J61" s="2" t="s">
        <v>70</v>
      </c>
    </row>
    <row r="62" spans="1:10" x14ac:dyDescent="0.3">
      <c r="A62" s="2" t="s">
        <v>572</v>
      </c>
      <c r="C62" s="2">
        <v>7800000</v>
      </c>
      <c r="E62" s="2">
        <f>tblTrialBalance[[#This Row],[Opening Balance (CY)]]+tblTrialBalance[[#This Row],[Debit (CY)]]-tblTrialBalance[[#This Row],[Credit (CY)]]</f>
        <v>7800000</v>
      </c>
      <c r="F62" s="2" t="s">
        <v>765</v>
      </c>
      <c r="G62" s="1" t="s">
        <v>766</v>
      </c>
      <c r="J62" s="2" t="s">
        <v>70</v>
      </c>
    </row>
    <row r="63" spans="1:10" x14ac:dyDescent="0.3">
      <c r="A63" s="2" t="s">
        <v>573</v>
      </c>
      <c r="C63" s="2">
        <v>855000</v>
      </c>
      <c r="E63" s="2">
        <f>tblTrialBalance[[#This Row],[Opening Balance (CY)]]+tblTrialBalance[[#This Row],[Debit (CY)]]-tblTrialBalance[[#This Row],[Credit (CY)]]</f>
        <v>855000</v>
      </c>
      <c r="F63" s="2" t="s">
        <v>765</v>
      </c>
      <c r="G63" s="1" t="s">
        <v>766</v>
      </c>
      <c r="J63" s="2" t="s">
        <v>70</v>
      </c>
    </row>
    <row r="64" spans="1:10" x14ac:dyDescent="0.3">
      <c r="A64" s="2" t="s">
        <v>574</v>
      </c>
      <c r="C64" s="2">
        <v>30000</v>
      </c>
      <c r="E64" s="2">
        <f>tblTrialBalance[[#This Row],[Opening Balance (CY)]]+tblTrialBalance[[#This Row],[Debit (CY)]]-tblTrialBalance[[#This Row],[Credit (CY)]]</f>
        <v>30000</v>
      </c>
      <c r="F64" s="2" t="s">
        <v>765</v>
      </c>
      <c r="G64" s="1" t="s">
        <v>766</v>
      </c>
      <c r="J64" s="2" t="s">
        <v>70</v>
      </c>
    </row>
    <row r="65" spans="1:10" x14ac:dyDescent="0.3">
      <c r="A65" s="2" t="s">
        <v>575</v>
      </c>
      <c r="C65" s="2">
        <v>80000</v>
      </c>
      <c r="E65" s="2">
        <f>tblTrialBalance[[#This Row],[Opening Balance (CY)]]+tblTrialBalance[[#This Row],[Debit (CY)]]-tblTrialBalance[[#This Row],[Credit (CY)]]</f>
        <v>80000</v>
      </c>
      <c r="F65" s="2" t="s">
        <v>765</v>
      </c>
      <c r="G65" s="1" t="s">
        <v>766</v>
      </c>
      <c r="J65" s="2" t="s">
        <v>70</v>
      </c>
    </row>
    <row r="66" spans="1:10" x14ac:dyDescent="0.3">
      <c r="A66" s="2" t="s">
        <v>576</v>
      </c>
      <c r="C66" s="2">
        <v>52000</v>
      </c>
      <c r="E66" s="2">
        <f>tblTrialBalance[[#This Row],[Opening Balance (CY)]]+tblTrialBalance[[#This Row],[Debit (CY)]]-tblTrialBalance[[#This Row],[Credit (CY)]]</f>
        <v>52000</v>
      </c>
      <c r="F66" s="2" t="s">
        <v>765</v>
      </c>
      <c r="G66" s="1" t="s">
        <v>766</v>
      </c>
      <c r="J66" s="2" t="s">
        <v>70</v>
      </c>
    </row>
    <row r="67" spans="1:10" x14ac:dyDescent="0.3">
      <c r="A67" s="2" t="s">
        <v>577</v>
      </c>
      <c r="C67" s="2">
        <v>1787700</v>
      </c>
      <c r="E67" s="2">
        <f>tblTrialBalance[[#This Row],[Opening Balance (CY)]]+tblTrialBalance[[#This Row],[Debit (CY)]]-tblTrialBalance[[#This Row],[Credit (CY)]]</f>
        <v>1787700</v>
      </c>
      <c r="F67" s="2" t="s">
        <v>765</v>
      </c>
      <c r="G67" s="1" t="s">
        <v>766</v>
      </c>
      <c r="J67" s="2" t="s">
        <v>70</v>
      </c>
    </row>
    <row r="68" spans="1:10" x14ac:dyDescent="0.3">
      <c r="A68" s="2" t="s">
        <v>578</v>
      </c>
      <c r="C68" s="2">
        <v>103590</v>
      </c>
      <c r="E68" s="2">
        <f>tblTrialBalance[[#This Row],[Opening Balance (CY)]]+tblTrialBalance[[#This Row],[Debit (CY)]]-tblTrialBalance[[#This Row],[Credit (CY)]]</f>
        <v>103590</v>
      </c>
      <c r="F68" s="2" t="s">
        <v>765</v>
      </c>
      <c r="G68" s="1" t="s">
        <v>766</v>
      </c>
      <c r="J68" s="2" t="s">
        <v>70</v>
      </c>
    </row>
    <row r="69" spans="1:10" x14ac:dyDescent="0.3">
      <c r="A69" s="2" t="s">
        <v>579</v>
      </c>
      <c r="C69" s="2">
        <v>225210</v>
      </c>
      <c r="E69" s="2">
        <f>tblTrialBalance[[#This Row],[Opening Balance (CY)]]+tblTrialBalance[[#This Row],[Debit (CY)]]-tblTrialBalance[[#This Row],[Credit (CY)]]</f>
        <v>225210</v>
      </c>
      <c r="F69" s="2" t="s">
        <v>765</v>
      </c>
      <c r="G69" s="1" t="s">
        <v>766</v>
      </c>
      <c r="J69" s="2" t="s">
        <v>70</v>
      </c>
    </row>
    <row r="70" spans="1:10" x14ac:dyDescent="0.3">
      <c r="A70" s="2" t="s">
        <v>580</v>
      </c>
      <c r="C70" s="2">
        <v>695712</v>
      </c>
      <c r="E70" s="2">
        <f>tblTrialBalance[[#This Row],[Opening Balance (CY)]]+tblTrialBalance[[#This Row],[Debit (CY)]]-tblTrialBalance[[#This Row],[Credit (CY)]]</f>
        <v>695712</v>
      </c>
      <c r="F70" s="2" t="s">
        <v>765</v>
      </c>
      <c r="G70" s="1" t="s">
        <v>766</v>
      </c>
      <c r="J70" s="2" t="s">
        <v>70</v>
      </c>
    </row>
    <row r="71" spans="1:10" x14ac:dyDescent="0.3">
      <c r="A71" s="2" t="s">
        <v>581</v>
      </c>
      <c r="C71" s="2">
        <v>282450</v>
      </c>
      <c r="E71" s="2">
        <f>tblTrialBalance[[#This Row],[Opening Balance (CY)]]+tblTrialBalance[[#This Row],[Debit (CY)]]-tblTrialBalance[[#This Row],[Credit (CY)]]</f>
        <v>282450</v>
      </c>
      <c r="F71" s="2" t="s">
        <v>765</v>
      </c>
      <c r="G71" s="1" t="s">
        <v>766</v>
      </c>
      <c r="J71" s="2" t="s">
        <v>70</v>
      </c>
    </row>
    <row r="72" spans="1:10" x14ac:dyDescent="0.3">
      <c r="A72" s="2" t="s">
        <v>582</v>
      </c>
      <c r="C72" s="2">
        <v>17808833.530000001</v>
      </c>
      <c r="E72" s="2">
        <f>tblTrialBalance[[#This Row],[Opening Balance (CY)]]+tblTrialBalance[[#This Row],[Debit (CY)]]-tblTrialBalance[[#This Row],[Credit (CY)]]</f>
        <v>17808833.530000001</v>
      </c>
      <c r="F72" s="2" t="s">
        <v>765</v>
      </c>
      <c r="G72" s="1" t="s">
        <v>766</v>
      </c>
      <c r="J72" s="2" t="s">
        <v>70</v>
      </c>
    </row>
    <row r="73" spans="1:10" x14ac:dyDescent="0.3">
      <c r="A73" s="2" t="s">
        <v>583</v>
      </c>
      <c r="C73" s="2">
        <v>7600</v>
      </c>
      <c r="E73" s="2">
        <f>tblTrialBalance[[#This Row],[Opening Balance (CY)]]+tblTrialBalance[[#This Row],[Debit (CY)]]-tblTrialBalance[[#This Row],[Credit (CY)]]</f>
        <v>7600</v>
      </c>
      <c r="F73" s="2" t="s">
        <v>765</v>
      </c>
      <c r="G73" s="1" t="s">
        <v>766</v>
      </c>
      <c r="J73" s="2" t="s">
        <v>70</v>
      </c>
    </row>
    <row r="74" spans="1:10" x14ac:dyDescent="0.3">
      <c r="A74" s="2" t="s">
        <v>584</v>
      </c>
      <c r="C74" s="2">
        <v>18000</v>
      </c>
      <c r="E74" s="2">
        <f>tblTrialBalance[[#This Row],[Opening Balance (CY)]]+tblTrialBalance[[#This Row],[Debit (CY)]]-tblTrialBalance[[#This Row],[Credit (CY)]]</f>
        <v>18000</v>
      </c>
      <c r="F74" s="2" t="s">
        <v>765</v>
      </c>
      <c r="G74" s="1" t="s">
        <v>766</v>
      </c>
      <c r="J74" s="2" t="s">
        <v>70</v>
      </c>
    </row>
    <row r="75" spans="1:10" x14ac:dyDescent="0.3">
      <c r="A75" s="2" t="s">
        <v>585</v>
      </c>
      <c r="C75" s="2">
        <v>87150</v>
      </c>
      <c r="E75" s="2">
        <f>tblTrialBalance[[#This Row],[Opening Balance (CY)]]+tblTrialBalance[[#This Row],[Debit (CY)]]-tblTrialBalance[[#This Row],[Credit (CY)]]</f>
        <v>87150</v>
      </c>
      <c r="F75" s="2" t="s">
        <v>765</v>
      </c>
      <c r="G75" s="1" t="s">
        <v>766</v>
      </c>
      <c r="J75" s="2" t="s">
        <v>70</v>
      </c>
    </row>
    <row r="76" spans="1:10" x14ac:dyDescent="0.3">
      <c r="A76" s="2" t="s">
        <v>586</v>
      </c>
      <c r="C76" s="2">
        <v>1701000</v>
      </c>
      <c r="E76" s="2">
        <f>tblTrialBalance[[#This Row],[Opening Balance (CY)]]+tblTrialBalance[[#This Row],[Debit (CY)]]-tblTrialBalance[[#This Row],[Credit (CY)]]</f>
        <v>1701000</v>
      </c>
      <c r="F76" s="2" t="s">
        <v>765</v>
      </c>
      <c r="G76" s="1" t="s">
        <v>766</v>
      </c>
      <c r="J76" s="2" t="s">
        <v>70</v>
      </c>
    </row>
    <row r="77" spans="1:10" x14ac:dyDescent="0.3">
      <c r="A77" s="2" t="s">
        <v>587</v>
      </c>
      <c r="C77" s="2">
        <v>1059050</v>
      </c>
      <c r="E77" s="2">
        <f>tblTrialBalance[[#This Row],[Opening Balance (CY)]]+tblTrialBalance[[#This Row],[Debit (CY)]]-tblTrialBalance[[#This Row],[Credit (CY)]]</f>
        <v>1059050</v>
      </c>
      <c r="F77" s="2" t="s">
        <v>765</v>
      </c>
      <c r="G77" s="1" t="s">
        <v>766</v>
      </c>
      <c r="J77" s="2" t="s">
        <v>70</v>
      </c>
    </row>
    <row r="78" spans="1:10" x14ac:dyDescent="0.3">
      <c r="A78" s="2" t="s">
        <v>588</v>
      </c>
      <c r="C78" s="2">
        <v>1059050</v>
      </c>
      <c r="E78" s="2">
        <f>tblTrialBalance[[#This Row],[Opening Balance (CY)]]+tblTrialBalance[[#This Row],[Debit (CY)]]-tblTrialBalance[[#This Row],[Credit (CY)]]</f>
        <v>1059050</v>
      </c>
      <c r="F78" s="2" t="s">
        <v>765</v>
      </c>
      <c r="G78" s="1" t="s">
        <v>766</v>
      </c>
      <c r="J78" s="2" t="s">
        <v>70</v>
      </c>
    </row>
    <row r="79" spans="1:10" x14ac:dyDescent="0.3">
      <c r="A79" s="2" t="s">
        <v>589</v>
      </c>
      <c r="C79" s="2">
        <v>932400</v>
      </c>
      <c r="E79" s="2">
        <f>tblTrialBalance[[#This Row],[Opening Balance (CY)]]+tblTrialBalance[[#This Row],[Debit (CY)]]-tblTrialBalance[[#This Row],[Credit (CY)]]</f>
        <v>932400</v>
      </c>
      <c r="F79" s="2" t="s">
        <v>765</v>
      </c>
      <c r="G79" s="1" t="s">
        <v>766</v>
      </c>
      <c r="J79" s="2" t="s">
        <v>70</v>
      </c>
    </row>
    <row r="80" spans="1:10" x14ac:dyDescent="0.3">
      <c r="A80" s="2" t="s">
        <v>590</v>
      </c>
      <c r="C80" s="2">
        <v>20700000</v>
      </c>
      <c r="E80" s="2">
        <f>tblTrialBalance[[#This Row],[Opening Balance (CY)]]+tblTrialBalance[[#This Row],[Debit (CY)]]-tblTrialBalance[[#This Row],[Credit (CY)]]</f>
        <v>20700000</v>
      </c>
      <c r="F80" s="2" t="s">
        <v>765</v>
      </c>
      <c r="G80" s="1" t="s">
        <v>766</v>
      </c>
      <c r="J80" s="2" t="s">
        <v>70</v>
      </c>
    </row>
    <row r="81" spans="1:10" x14ac:dyDescent="0.3">
      <c r="A81" s="2" t="s">
        <v>591</v>
      </c>
      <c r="C81" s="2">
        <v>230000</v>
      </c>
      <c r="E81" s="2">
        <f>tblTrialBalance[[#This Row],[Opening Balance (CY)]]+tblTrialBalance[[#This Row],[Debit (CY)]]-tblTrialBalance[[#This Row],[Credit (CY)]]</f>
        <v>230000</v>
      </c>
      <c r="F81" s="2" t="s">
        <v>765</v>
      </c>
      <c r="G81" s="1" t="s">
        <v>766</v>
      </c>
      <c r="J81" s="2" t="s">
        <v>70</v>
      </c>
    </row>
    <row r="82" spans="1:10" x14ac:dyDescent="0.3">
      <c r="A82" s="2" t="s">
        <v>592</v>
      </c>
      <c r="C82" s="2">
        <v>4949749.99</v>
      </c>
      <c r="E82" s="2">
        <f>tblTrialBalance[[#This Row],[Opening Balance (CY)]]+tblTrialBalance[[#This Row],[Debit (CY)]]-tblTrialBalance[[#This Row],[Credit (CY)]]</f>
        <v>4949749.99</v>
      </c>
      <c r="F82" s="2" t="s">
        <v>765</v>
      </c>
      <c r="G82" s="1" t="s">
        <v>766</v>
      </c>
      <c r="J82" s="2" t="s">
        <v>70</v>
      </c>
    </row>
    <row r="83" spans="1:10" x14ac:dyDescent="0.3">
      <c r="A83" s="2" t="s">
        <v>593</v>
      </c>
      <c r="C83" s="2">
        <v>323500</v>
      </c>
      <c r="E83" s="2">
        <f>tblTrialBalance[[#This Row],[Opening Balance (CY)]]+tblTrialBalance[[#This Row],[Debit (CY)]]-tblTrialBalance[[#This Row],[Credit (CY)]]</f>
        <v>323500</v>
      </c>
      <c r="F83" s="2" t="s">
        <v>765</v>
      </c>
      <c r="G83" s="1" t="s">
        <v>766</v>
      </c>
      <c r="J83" s="2" t="s">
        <v>70</v>
      </c>
    </row>
    <row r="84" spans="1:10" x14ac:dyDescent="0.3">
      <c r="A84" s="2" t="s">
        <v>594</v>
      </c>
      <c r="C84" s="2">
        <v>1668702</v>
      </c>
      <c r="E84" s="2">
        <f>tblTrialBalance[[#This Row],[Opening Balance (CY)]]+tblTrialBalance[[#This Row],[Debit (CY)]]-tblTrialBalance[[#This Row],[Credit (CY)]]</f>
        <v>1668702</v>
      </c>
      <c r="F84" s="2" t="s">
        <v>765</v>
      </c>
      <c r="G84" s="1" t="s">
        <v>766</v>
      </c>
      <c r="J84" s="2" t="s">
        <v>70</v>
      </c>
    </row>
    <row r="85" spans="1:10" x14ac:dyDescent="0.3">
      <c r="A85" s="2" t="s">
        <v>595</v>
      </c>
      <c r="C85" s="2">
        <v>804960</v>
      </c>
      <c r="E85" s="2">
        <f>tblTrialBalance[[#This Row],[Opening Balance (CY)]]+tblTrialBalance[[#This Row],[Debit (CY)]]-tblTrialBalance[[#This Row],[Credit (CY)]]</f>
        <v>804960</v>
      </c>
      <c r="F85" s="2" t="s">
        <v>765</v>
      </c>
      <c r="G85" s="1" t="s">
        <v>766</v>
      </c>
      <c r="J85" s="2" t="s">
        <v>70</v>
      </c>
    </row>
    <row r="86" spans="1:10" x14ac:dyDescent="0.3">
      <c r="A86" s="2" t="s">
        <v>596</v>
      </c>
      <c r="C86" s="2">
        <v>1650000</v>
      </c>
      <c r="E86" s="2">
        <f>tblTrialBalance[[#This Row],[Opening Balance (CY)]]+tblTrialBalance[[#This Row],[Debit (CY)]]-tblTrialBalance[[#This Row],[Credit (CY)]]</f>
        <v>1650000</v>
      </c>
      <c r="F86" s="2" t="s">
        <v>765</v>
      </c>
      <c r="G86" s="1" t="s">
        <v>766</v>
      </c>
      <c r="J86" s="2" t="s">
        <v>70</v>
      </c>
    </row>
    <row r="87" spans="1:10" x14ac:dyDescent="0.3">
      <c r="A87" s="2" t="s">
        <v>597</v>
      </c>
      <c r="C87" s="2">
        <v>384237</v>
      </c>
      <c r="E87" s="2">
        <f>tblTrialBalance[[#This Row],[Opening Balance (CY)]]+tblTrialBalance[[#This Row],[Debit (CY)]]-tblTrialBalance[[#This Row],[Credit (CY)]]</f>
        <v>384237</v>
      </c>
      <c r="F87" s="2" t="s">
        <v>765</v>
      </c>
      <c r="G87" s="1" t="s">
        <v>766</v>
      </c>
      <c r="J87" s="2" t="s">
        <v>70</v>
      </c>
    </row>
    <row r="88" spans="1:10" x14ac:dyDescent="0.3">
      <c r="A88" s="2" t="s">
        <v>598</v>
      </c>
      <c r="C88" s="2">
        <v>237990</v>
      </c>
      <c r="E88" s="2">
        <f>tblTrialBalance[[#This Row],[Opening Balance (CY)]]+tblTrialBalance[[#This Row],[Debit (CY)]]-tblTrialBalance[[#This Row],[Credit (CY)]]</f>
        <v>237990</v>
      </c>
      <c r="F88" s="2" t="s">
        <v>765</v>
      </c>
      <c r="G88" s="1" t="s">
        <v>766</v>
      </c>
      <c r="J88" s="2" t="s">
        <v>70</v>
      </c>
    </row>
    <row r="89" spans="1:10" x14ac:dyDescent="0.3">
      <c r="A89" s="2" t="s">
        <v>599</v>
      </c>
      <c r="C89" s="2">
        <v>17250</v>
      </c>
      <c r="E89" s="2">
        <f>tblTrialBalance[[#This Row],[Opening Balance (CY)]]+tblTrialBalance[[#This Row],[Debit (CY)]]-tblTrialBalance[[#This Row],[Credit (CY)]]</f>
        <v>17250</v>
      </c>
      <c r="F89" s="2" t="s">
        <v>765</v>
      </c>
      <c r="G89" s="1" t="s">
        <v>766</v>
      </c>
      <c r="J89" s="2" t="s">
        <v>70</v>
      </c>
    </row>
    <row r="90" spans="1:10" x14ac:dyDescent="0.3">
      <c r="A90" s="2" t="s">
        <v>456</v>
      </c>
      <c r="C90" s="2">
        <v>1712972.55</v>
      </c>
      <c r="E90" s="2">
        <f>tblTrialBalance[[#This Row],[Opening Balance (CY)]]+tblTrialBalance[[#This Row],[Debit (CY)]]-tblTrialBalance[[#This Row],[Credit (CY)]]</f>
        <v>1712972.55</v>
      </c>
      <c r="F90" s="2" t="s">
        <v>765</v>
      </c>
      <c r="G90" s="1" t="s">
        <v>766</v>
      </c>
      <c r="J90" s="2" t="s">
        <v>455</v>
      </c>
    </row>
    <row r="91" spans="1:10" x14ac:dyDescent="0.3">
      <c r="A91" s="2" t="s">
        <v>600</v>
      </c>
      <c r="C91" s="2">
        <v>115909.96</v>
      </c>
      <c r="E91" s="2">
        <f>tblTrialBalance[[#This Row],[Opening Balance (CY)]]+tblTrialBalance[[#This Row],[Debit (CY)]]-tblTrialBalance[[#This Row],[Credit (CY)]]</f>
        <v>115909.96</v>
      </c>
      <c r="F91" s="2" t="s">
        <v>765</v>
      </c>
      <c r="G91" s="1" t="s">
        <v>766</v>
      </c>
      <c r="J91" s="2" t="s">
        <v>456</v>
      </c>
    </row>
    <row r="92" spans="1:10" x14ac:dyDescent="0.3">
      <c r="A92" s="2" t="s">
        <v>457</v>
      </c>
      <c r="C92" s="2">
        <v>635942.28</v>
      </c>
      <c r="E92" s="2">
        <f>tblTrialBalance[[#This Row],[Opening Balance (CY)]]+tblTrialBalance[[#This Row],[Debit (CY)]]-tblTrialBalance[[#This Row],[Credit (CY)]]</f>
        <v>635942.28</v>
      </c>
      <c r="F92" s="2" t="s">
        <v>765</v>
      </c>
      <c r="G92" s="1" t="s">
        <v>766</v>
      </c>
      <c r="J92" s="2" t="s">
        <v>457</v>
      </c>
    </row>
    <row r="93" spans="1:10" x14ac:dyDescent="0.3">
      <c r="A93" s="2" t="s">
        <v>458</v>
      </c>
      <c r="C93" s="2">
        <v>55056.75</v>
      </c>
      <c r="E93" s="2">
        <f>tblTrialBalance[[#This Row],[Opening Balance (CY)]]+tblTrialBalance[[#This Row],[Debit (CY)]]-tblTrialBalance[[#This Row],[Credit (CY)]]</f>
        <v>55056.75</v>
      </c>
      <c r="F93" s="2" t="s">
        <v>765</v>
      </c>
      <c r="G93" s="1" t="s">
        <v>766</v>
      </c>
      <c r="J93" s="2" t="s">
        <v>458</v>
      </c>
    </row>
    <row r="94" spans="1:10" x14ac:dyDescent="0.3">
      <c r="A94" s="2" t="s">
        <v>601</v>
      </c>
      <c r="C94" s="2">
        <v>485874.56</v>
      </c>
      <c r="E94" s="2">
        <f>tblTrialBalance[[#This Row],[Opening Balance (CY)]]+tblTrialBalance[[#This Row],[Debit (CY)]]-tblTrialBalance[[#This Row],[Credit (CY)]]</f>
        <v>485874.56</v>
      </c>
      <c r="F94" s="2" t="s">
        <v>765</v>
      </c>
      <c r="G94" s="1" t="s">
        <v>766</v>
      </c>
      <c r="J94" s="2" t="s">
        <v>452</v>
      </c>
    </row>
    <row r="95" spans="1:10" x14ac:dyDescent="0.3">
      <c r="A95" s="2" t="s">
        <v>602</v>
      </c>
      <c r="C95" s="2">
        <v>2599.4699999999998</v>
      </c>
      <c r="E95" s="2">
        <f>tblTrialBalance[[#This Row],[Opening Balance (CY)]]+tblTrialBalance[[#This Row],[Debit (CY)]]-tblTrialBalance[[#This Row],[Credit (CY)]]</f>
        <v>2599.4699999999998</v>
      </c>
      <c r="F95" s="2" t="s">
        <v>765</v>
      </c>
      <c r="G95" s="1" t="s">
        <v>766</v>
      </c>
      <c r="J95" s="2" t="s">
        <v>459</v>
      </c>
    </row>
    <row r="96" spans="1:10" x14ac:dyDescent="0.3">
      <c r="A96" s="2" t="s">
        <v>603</v>
      </c>
      <c r="C96" s="2">
        <v>569.96</v>
      </c>
      <c r="E96" s="2">
        <f>tblTrialBalance[[#This Row],[Opening Balance (CY)]]+tblTrialBalance[[#This Row],[Debit (CY)]]-tblTrialBalance[[#This Row],[Credit (CY)]]</f>
        <v>569.96</v>
      </c>
      <c r="F96" s="2" t="s">
        <v>765</v>
      </c>
      <c r="G96" s="1" t="s">
        <v>766</v>
      </c>
      <c r="J96" s="2" t="s">
        <v>452</v>
      </c>
    </row>
    <row r="97" spans="1:10" x14ac:dyDescent="0.3">
      <c r="A97" s="2" t="s">
        <v>604</v>
      </c>
      <c r="C97" s="2">
        <v>2185.61</v>
      </c>
      <c r="E97" s="2">
        <f>tblTrialBalance[[#This Row],[Opening Balance (CY)]]+tblTrialBalance[[#This Row],[Debit (CY)]]-tblTrialBalance[[#This Row],[Credit (CY)]]</f>
        <v>2185.61</v>
      </c>
      <c r="F97" s="2" t="s">
        <v>765</v>
      </c>
      <c r="G97" s="1" t="s">
        <v>766</v>
      </c>
      <c r="J97" s="2" t="s">
        <v>452</v>
      </c>
    </row>
    <row r="98" spans="1:10" x14ac:dyDescent="0.3">
      <c r="A98" s="2" t="s">
        <v>605</v>
      </c>
      <c r="C98" s="2">
        <v>569.96</v>
      </c>
      <c r="E98" s="2">
        <f>tblTrialBalance[[#This Row],[Opening Balance (CY)]]+tblTrialBalance[[#This Row],[Debit (CY)]]-tblTrialBalance[[#This Row],[Credit (CY)]]</f>
        <v>569.96</v>
      </c>
      <c r="F98" s="2" t="s">
        <v>765</v>
      </c>
      <c r="G98" s="1" t="s">
        <v>766</v>
      </c>
      <c r="J98" s="2" t="s">
        <v>452</v>
      </c>
    </row>
    <row r="99" spans="1:10" x14ac:dyDescent="0.3">
      <c r="A99" s="2" t="s">
        <v>606</v>
      </c>
      <c r="C99" s="2">
        <v>391085.6</v>
      </c>
      <c r="E99" s="2">
        <f>tblTrialBalance[[#This Row],[Opening Balance (CY)]]+tblTrialBalance[[#This Row],[Debit (CY)]]-tblTrialBalance[[#This Row],[Credit (CY)]]</f>
        <v>391085.6</v>
      </c>
      <c r="F99" s="2" t="s">
        <v>765</v>
      </c>
      <c r="G99" s="1" t="s">
        <v>766</v>
      </c>
      <c r="J99" s="2" t="s">
        <v>459</v>
      </c>
    </row>
    <row r="100" spans="1:10" x14ac:dyDescent="0.3">
      <c r="A100" s="2" t="s">
        <v>607</v>
      </c>
      <c r="C100" s="2">
        <v>5445365.0099999998</v>
      </c>
      <c r="E100" s="2">
        <f>tblTrialBalance[[#This Row],[Opening Balance (CY)]]+tblTrialBalance[[#This Row],[Debit (CY)]]-tblTrialBalance[[#This Row],[Credit (CY)]]</f>
        <v>5445365.0099999998</v>
      </c>
      <c r="F100" s="2" t="s">
        <v>765</v>
      </c>
      <c r="G100" s="1" t="s">
        <v>766</v>
      </c>
      <c r="J100" s="2" t="s">
        <v>460</v>
      </c>
    </row>
    <row r="101" spans="1:10" x14ac:dyDescent="0.3">
      <c r="A101" s="2" t="s">
        <v>608</v>
      </c>
      <c r="C101" s="2">
        <v>122000</v>
      </c>
      <c r="E101" s="2">
        <f>tblTrialBalance[[#This Row],[Opening Balance (CY)]]+tblTrialBalance[[#This Row],[Debit (CY)]]-tblTrialBalance[[#This Row],[Credit (CY)]]</f>
        <v>122000</v>
      </c>
      <c r="F101" s="2" t="s">
        <v>765</v>
      </c>
      <c r="G101" s="1" t="s">
        <v>766</v>
      </c>
      <c r="J101" s="2" t="s">
        <v>460</v>
      </c>
    </row>
    <row r="102" spans="1:10" x14ac:dyDescent="0.3">
      <c r="A102" s="2" t="s">
        <v>609</v>
      </c>
      <c r="C102" s="2">
        <v>157535</v>
      </c>
      <c r="E102" s="2">
        <f>tblTrialBalance[[#This Row],[Opening Balance (CY)]]+tblTrialBalance[[#This Row],[Debit (CY)]]-tblTrialBalance[[#This Row],[Credit (CY)]]</f>
        <v>157535</v>
      </c>
      <c r="F102" s="2" t="s">
        <v>765</v>
      </c>
      <c r="G102" s="1" t="s">
        <v>766</v>
      </c>
      <c r="J102" s="2" t="s">
        <v>461</v>
      </c>
    </row>
    <row r="103" spans="1:10" x14ac:dyDescent="0.3">
      <c r="A103" s="2" t="s">
        <v>610</v>
      </c>
      <c r="C103" s="2">
        <v>-78854210.930000007</v>
      </c>
      <c r="E103" s="2">
        <f>tblTrialBalance[[#This Row],[Opening Balance (CY)]]+tblTrialBalance[[#This Row],[Debit (CY)]]-tblTrialBalance[[#This Row],[Credit (CY)]]</f>
        <v>-78854210.930000007</v>
      </c>
      <c r="F103" s="2" t="s">
        <v>765</v>
      </c>
      <c r="G103" s="1" t="s">
        <v>766</v>
      </c>
      <c r="J103" s="2" t="s">
        <v>462</v>
      </c>
    </row>
    <row r="104" spans="1:10" x14ac:dyDescent="0.3">
      <c r="A104" s="2" t="s">
        <v>611</v>
      </c>
      <c r="C104" s="2">
        <v>-980903</v>
      </c>
      <c r="E104" s="2">
        <f>tblTrialBalance[[#This Row],[Opening Balance (CY)]]+tblTrialBalance[[#This Row],[Debit (CY)]]-tblTrialBalance[[#This Row],[Credit (CY)]]</f>
        <v>-980903</v>
      </c>
      <c r="F104" s="2" t="s">
        <v>765</v>
      </c>
      <c r="G104" s="1" t="s">
        <v>766</v>
      </c>
      <c r="J104" s="2" t="s">
        <v>463</v>
      </c>
    </row>
    <row r="105" spans="1:10" x14ac:dyDescent="0.3">
      <c r="A105" s="2" t="s">
        <v>612</v>
      </c>
      <c r="C105" s="2">
        <v>-40000000</v>
      </c>
      <c r="E105" s="2">
        <f>tblTrialBalance[[#This Row],[Opening Balance (CY)]]+tblTrialBalance[[#This Row],[Debit (CY)]]-tblTrialBalance[[#This Row],[Credit (CY)]]</f>
        <v>-40000000</v>
      </c>
      <c r="F105" s="2" t="s">
        <v>765</v>
      </c>
      <c r="G105" s="1" t="s">
        <v>766</v>
      </c>
      <c r="J105" s="2" t="s">
        <v>464</v>
      </c>
    </row>
    <row r="106" spans="1:10" x14ac:dyDescent="0.3">
      <c r="A106" s="2" t="s">
        <v>613</v>
      </c>
      <c r="C106" s="2">
        <v>-13333333</v>
      </c>
      <c r="E106" s="2">
        <f>tblTrialBalance[[#This Row],[Opening Balance (CY)]]+tblTrialBalance[[#This Row],[Debit (CY)]]-tblTrialBalance[[#This Row],[Credit (CY)]]</f>
        <v>-13333333</v>
      </c>
      <c r="F106" s="2" t="s">
        <v>765</v>
      </c>
      <c r="G106" s="1" t="s">
        <v>766</v>
      </c>
      <c r="J106" s="2" t="s">
        <v>464</v>
      </c>
    </row>
    <row r="107" spans="1:10" x14ac:dyDescent="0.3">
      <c r="A107" s="2" t="s">
        <v>614</v>
      </c>
      <c r="C107" s="2">
        <v>-14000000</v>
      </c>
      <c r="E107" s="2">
        <f>tblTrialBalance[[#This Row],[Opening Balance (CY)]]+tblTrialBalance[[#This Row],[Debit (CY)]]-tblTrialBalance[[#This Row],[Credit (CY)]]</f>
        <v>-14000000</v>
      </c>
      <c r="F107" s="2" t="s">
        <v>765</v>
      </c>
      <c r="G107" s="1" t="s">
        <v>766</v>
      </c>
      <c r="J107" s="2" t="s">
        <v>464</v>
      </c>
    </row>
    <row r="108" spans="1:10" x14ac:dyDescent="0.3">
      <c r="A108" s="2" t="s">
        <v>615</v>
      </c>
      <c r="C108" s="2">
        <v>-14000000</v>
      </c>
      <c r="E108" s="2">
        <f>tblTrialBalance[[#This Row],[Opening Balance (CY)]]+tblTrialBalance[[#This Row],[Debit (CY)]]-tblTrialBalance[[#This Row],[Credit (CY)]]</f>
        <v>-14000000</v>
      </c>
      <c r="F108" s="2" t="s">
        <v>765</v>
      </c>
      <c r="G108" s="1" t="s">
        <v>766</v>
      </c>
      <c r="J108" s="2" t="s">
        <v>464</v>
      </c>
    </row>
    <row r="109" spans="1:10" x14ac:dyDescent="0.3">
      <c r="A109" s="2" t="s">
        <v>616</v>
      </c>
      <c r="C109" s="2">
        <v>-1163038</v>
      </c>
      <c r="E109" s="2">
        <f>tblTrialBalance[[#This Row],[Opening Balance (CY)]]+tblTrialBalance[[#This Row],[Debit (CY)]]-tblTrialBalance[[#This Row],[Credit (CY)]]</f>
        <v>-1163038</v>
      </c>
      <c r="F109" s="2" t="s">
        <v>765</v>
      </c>
      <c r="G109" s="1" t="s">
        <v>766</v>
      </c>
      <c r="J109" s="2" t="s">
        <v>465</v>
      </c>
    </row>
    <row r="110" spans="1:10" x14ac:dyDescent="0.3">
      <c r="A110" s="2" t="s">
        <v>617</v>
      </c>
      <c r="C110" s="2">
        <v>-96437</v>
      </c>
      <c r="E110" s="2">
        <f>tblTrialBalance[[#This Row],[Opening Balance (CY)]]+tblTrialBalance[[#This Row],[Debit (CY)]]-tblTrialBalance[[#This Row],[Credit (CY)]]</f>
        <v>-96437</v>
      </c>
      <c r="F110" s="2" t="s">
        <v>765</v>
      </c>
      <c r="G110" s="1" t="s">
        <v>766</v>
      </c>
      <c r="J110" s="2" t="s">
        <v>466</v>
      </c>
    </row>
    <row r="111" spans="1:10" x14ac:dyDescent="0.3">
      <c r="A111" s="2" t="s">
        <v>618</v>
      </c>
      <c r="C111" s="2">
        <v>-12250</v>
      </c>
      <c r="E111" s="2">
        <f>tblTrialBalance[[#This Row],[Opening Balance (CY)]]+tblTrialBalance[[#This Row],[Debit (CY)]]-tblTrialBalance[[#This Row],[Credit (CY)]]</f>
        <v>-12250</v>
      </c>
      <c r="F111" s="2" t="s">
        <v>765</v>
      </c>
      <c r="G111" s="1" t="s">
        <v>766</v>
      </c>
      <c r="J111" s="2" t="s">
        <v>466</v>
      </c>
    </row>
    <row r="112" spans="1:10" x14ac:dyDescent="0.3">
      <c r="A112" s="2" t="s">
        <v>619</v>
      </c>
      <c r="C112" s="2">
        <v>73186</v>
      </c>
      <c r="E112" s="2">
        <f>tblTrialBalance[[#This Row],[Opening Balance (CY)]]+tblTrialBalance[[#This Row],[Debit (CY)]]-tblTrialBalance[[#This Row],[Credit (CY)]]</f>
        <v>73186</v>
      </c>
      <c r="F112" s="2" t="s">
        <v>765</v>
      </c>
      <c r="G112" s="1" t="s">
        <v>766</v>
      </c>
      <c r="J112" s="2" t="s">
        <v>467</v>
      </c>
    </row>
    <row r="113" spans="1:10" x14ac:dyDescent="0.3">
      <c r="A113" s="2" t="s">
        <v>620</v>
      </c>
      <c r="C113" s="2">
        <v>7</v>
      </c>
      <c r="E113" s="2">
        <f>tblTrialBalance[[#This Row],[Opening Balance (CY)]]+tblTrialBalance[[#This Row],[Debit (CY)]]-tblTrialBalance[[#This Row],[Credit (CY)]]</f>
        <v>7</v>
      </c>
      <c r="F113" s="2" t="s">
        <v>765</v>
      </c>
      <c r="G113" s="1" t="s">
        <v>766</v>
      </c>
      <c r="J113" s="2" t="s">
        <v>467</v>
      </c>
    </row>
    <row r="114" spans="1:10" x14ac:dyDescent="0.3">
      <c r="A114" s="2" t="s">
        <v>621</v>
      </c>
      <c r="C114" s="2">
        <v>-9750</v>
      </c>
      <c r="E114" s="2">
        <f>tblTrialBalance[[#This Row],[Opening Balance (CY)]]+tblTrialBalance[[#This Row],[Debit (CY)]]-tblTrialBalance[[#This Row],[Credit (CY)]]</f>
        <v>-9750</v>
      </c>
      <c r="F114" s="2" t="s">
        <v>765</v>
      </c>
      <c r="G114" s="1" t="s">
        <v>766</v>
      </c>
      <c r="J114" s="2" t="s">
        <v>466</v>
      </c>
    </row>
    <row r="115" spans="1:10" x14ac:dyDescent="0.3">
      <c r="A115" s="2" t="s">
        <v>622</v>
      </c>
      <c r="C115" s="2">
        <v>-11750</v>
      </c>
      <c r="E115" s="2">
        <f>tblTrialBalance[[#This Row],[Opening Balance (CY)]]+tblTrialBalance[[#This Row],[Debit (CY)]]-tblTrialBalance[[#This Row],[Credit (CY)]]</f>
        <v>-11750</v>
      </c>
      <c r="F115" s="2" t="s">
        <v>765</v>
      </c>
      <c r="G115" s="1" t="s">
        <v>766</v>
      </c>
      <c r="J115" s="2" t="s">
        <v>466</v>
      </c>
    </row>
    <row r="116" spans="1:10" x14ac:dyDescent="0.3">
      <c r="A116" s="2" t="s">
        <v>623</v>
      </c>
      <c r="C116" s="2">
        <v>356</v>
      </c>
      <c r="E116" s="2">
        <f>tblTrialBalance[[#This Row],[Opening Balance (CY)]]+tblTrialBalance[[#This Row],[Debit (CY)]]-tblTrialBalance[[#This Row],[Credit (CY)]]</f>
        <v>356</v>
      </c>
      <c r="F116" s="2" t="s">
        <v>765</v>
      </c>
      <c r="G116" s="1" t="s">
        <v>766</v>
      </c>
      <c r="J116" s="2" t="s">
        <v>467</v>
      </c>
    </row>
    <row r="117" spans="1:10" x14ac:dyDescent="0.3">
      <c r="A117" s="2" t="s">
        <v>624</v>
      </c>
      <c r="C117" s="2">
        <v>-11750</v>
      </c>
      <c r="E117" s="2">
        <f>tblTrialBalance[[#This Row],[Opening Balance (CY)]]+tblTrialBalance[[#This Row],[Debit (CY)]]-tblTrialBalance[[#This Row],[Credit (CY)]]</f>
        <v>-11750</v>
      </c>
      <c r="F117" s="2" t="s">
        <v>765</v>
      </c>
      <c r="G117" s="1" t="s">
        <v>766</v>
      </c>
      <c r="J117" s="2" t="s">
        <v>466</v>
      </c>
    </row>
    <row r="118" spans="1:10" x14ac:dyDescent="0.3">
      <c r="A118" s="2" t="s">
        <v>625</v>
      </c>
      <c r="C118" s="2">
        <v>-15084</v>
      </c>
      <c r="E118" s="2">
        <f>tblTrialBalance[[#This Row],[Opening Balance (CY)]]+tblTrialBalance[[#This Row],[Debit (CY)]]-tblTrialBalance[[#This Row],[Credit (CY)]]</f>
        <v>-15084</v>
      </c>
      <c r="F118" s="2" t="s">
        <v>765</v>
      </c>
      <c r="G118" s="1" t="s">
        <v>766</v>
      </c>
      <c r="J118" s="2" t="s">
        <v>466</v>
      </c>
    </row>
    <row r="119" spans="1:10" x14ac:dyDescent="0.3">
      <c r="A119" s="2" t="s">
        <v>626</v>
      </c>
      <c r="C119" s="2">
        <v>-11000</v>
      </c>
      <c r="E119" s="2">
        <f>tblTrialBalance[[#This Row],[Opening Balance (CY)]]+tblTrialBalance[[#This Row],[Debit (CY)]]-tblTrialBalance[[#This Row],[Credit (CY)]]</f>
        <v>-11000</v>
      </c>
      <c r="F119" s="2" t="s">
        <v>765</v>
      </c>
      <c r="G119" s="1" t="s">
        <v>766</v>
      </c>
      <c r="J119" s="2" t="s">
        <v>466</v>
      </c>
    </row>
    <row r="120" spans="1:10" x14ac:dyDescent="0.3">
      <c r="A120" s="2" t="s">
        <v>627</v>
      </c>
      <c r="C120" s="2">
        <v>-10250</v>
      </c>
      <c r="E120" s="2">
        <f>tblTrialBalance[[#This Row],[Opening Balance (CY)]]+tblTrialBalance[[#This Row],[Debit (CY)]]-tblTrialBalance[[#This Row],[Credit (CY)]]</f>
        <v>-10250</v>
      </c>
      <c r="F120" s="2" t="s">
        <v>765</v>
      </c>
      <c r="G120" s="1" t="s">
        <v>766</v>
      </c>
      <c r="J120" s="2" t="s">
        <v>466</v>
      </c>
    </row>
    <row r="121" spans="1:10" x14ac:dyDescent="0.3">
      <c r="A121" s="2" t="s">
        <v>628</v>
      </c>
      <c r="C121" s="2">
        <v>-10860</v>
      </c>
      <c r="E121" s="2">
        <f>tblTrialBalance[[#This Row],[Opening Balance (CY)]]+tblTrialBalance[[#This Row],[Debit (CY)]]-tblTrialBalance[[#This Row],[Credit (CY)]]</f>
        <v>-10860</v>
      </c>
      <c r="F121" s="2" t="s">
        <v>765</v>
      </c>
      <c r="G121" s="1" t="s">
        <v>766</v>
      </c>
      <c r="J121" s="2" t="s">
        <v>466</v>
      </c>
    </row>
    <row r="122" spans="1:10" x14ac:dyDescent="0.3">
      <c r="A122" s="2" t="s">
        <v>629</v>
      </c>
      <c r="C122" s="2">
        <v>-16088</v>
      </c>
      <c r="E122" s="2">
        <f>tblTrialBalance[[#This Row],[Opening Balance (CY)]]+tblTrialBalance[[#This Row],[Debit (CY)]]-tblTrialBalance[[#This Row],[Credit (CY)]]</f>
        <v>-16088</v>
      </c>
      <c r="F122" s="2" t="s">
        <v>765</v>
      </c>
      <c r="G122" s="1" t="s">
        <v>766</v>
      </c>
      <c r="J122" s="2" t="s">
        <v>466</v>
      </c>
    </row>
    <row r="123" spans="1:10" x14ac:dyDescent="0.3">
      <c r="A123" s="2" t="s">
        <v>630</v>
      </c>
      <c r="C123" s="2">
        <v>-4000</v>
      </c>
      <c r="E123" s="2">
        <f>tblTrialBalance[[#This Row],[Opening Balance (CY)]]+tblTrialBalance[[#This Row],[Debit (CY)]]-tblTrialBalance[[#This Row],[Credit (CY)]]</f>
        <v>-4000</v>
      </c>
      <c r="F123" s="2" t="s">
        <v>765</v>
      </c>
      <c r="G123" s="1" t="s">
        <v>766</v>
      </c>
      <c r="J123" s="2" t="s">
        <v>466</v>
      </c>
    </row>
    <row r="124" spans="1:10" x14ac:dyDescent="0.3">
      <c r="A124" s="2" t="s">
        <v>631</v>
      </c>
      <c r="C124" s="2">
        <v>-150582.04999999999</v>
      </c>
      <c r="E124" s="2">
        <f>tblTrialBalance[[#This Row],[Opening Balance (CY)]]+tblTrialBalance[[#This Row],[Debit (CY)]]-tblTrialBalance[[#This Row],[Credit (CY)]]</f>
        <v>-150582.04999999999</v>
      </c>
      <c r="F124" s="2" t="s">
        <v>765</v>
      </c>
      <c r="G124" s="1" t="s">
        <v>766</v>
      </c>
      <c r="J124" s="2" t="s">
        <v>468</v>
      </c>
    </row>
    <row r="125" spans="1:10" x14ac:dyDescent="0.3">
      <c r="A125" s="2" t="s">
        <v>632</v>
      </c>
      <c r="C125" s="2">
        <v>-6000</v>
      </c>
      <c r="E125" s="2">
        <f>tblTrialBalance[[#This Row],[Opening Balance (CY)]]+tblTrialBalance[[#This Row],[Debit (CY)]]-tblTrialBalance[[#This Row],[Credit (CY)]]</f>
        <v>-6000</v>
      </c>
      <c r="F125" s="2" t="s">
        <v>765</v>
      </c>
      <c r="G125" s="1" t="s">
        <v>766</v>
      </c>
      <c r="J125" s="2" t="s">
        <v>466</v>
      </c>
    </row>
    <row r="126" spans="1:10" x14ac:dyDescent="0.3">
      <c r="A126" s="2" t="s">
        <v>633</v>
      </c>
      <c r="C126" s="2">
        <v>-11750</v>
      </c>
      <c r="E126" s="2">
        <f>tblTrialBalance[[#This Row],[Opening Balance (CY)]]+tblTrialBalance[[#This Row],[Debit (CY)]]-tblTrialBalance[[#This Row],[Credit (CY)]]</f>
        <v>-11750</v>
      </c>
      <c r="F126" s="2" t="s">
        <v>765</v>
      </c>
      <c r="G126" s="1" t="s">
        <v>766</v>
      </c>
      <c r="J126" s="2" t="s">
        <v>466</v>
      </c>
    </row>
    <row r="127" spans="1:10" x14ac:dyDescent="0.3">
      <c r="A127" s="2" t="s">
        <v>634</v>
      </c>
      <c r="C127" s="2">
        <v>276194</v>
      </c>
      <c r="E127" s="2">
        <f>tblTrialBalance[[#This Row],[Opening Balance (CY)]]+tblTrialBalance[[#This Row],[Debit (CY)]]-tblTrialBalance[[#This Row],[Credit (CY)]]</f>
        <v>276194</v>
      </c>
      <c r="F127" s="2" t="s">
        <v>765</v>
      </c>
      <c r="G127" s="1" t="s">
        <v>766</v>
      </c>
      <c r="J127" s="2" t="s">
        <v>467</v>
      </c>
    </row>
    <row r="128" spans="1:10" x14ac:dyDescent="0.3">
      <c r="A128" s="2" t="s">
        <v>635</v>
      </c>
      <c r="C128" s="2">
        <v>-12300</v>
      </c>
      <c r="E128" s="2">
        <f>tblTrialBalance[[#This Row],[Opening Balance (CY)]]+tblTrialBalance[[#This Row],[Debit (CY)]]-tblTrialBalance[[#This Row],[Credit (CY)]]</f>
        <v>-12300</v>
      </c>
      <c r="F128" s="2" t="s">
        <v>765</v>
      </c>
      <c r="G128" s="1" t="s">
        <v>766</v>
      </c>
      <c r="J128" s="2" t="s">
        <v>466</v>
      </c>
    </row>
    <row r="129" spans="1:10" x14ac:dyDescent="0.3">
      <c r="A129" s="2" t="s">
        <v>636</v>
      </c>
      <c r="C129" s="2">
        <v>-15200.93</v>
      </c>
      <c r="E129" s="2">
        <f>tblTrialBalance[[#This Row],[Opening Balance (CY)]]+tblTrialBalance[[#This Row],[Debit (CY)]]-tblTrialBalance[[#This Row],[Credit (CY)]]</f>
        <v>-15200.93</v>
      </c>
      <c r="F129" s="2" t="s">
        <v>765</v>
      </c>
      <c r="G129" s="1" t="s">
        <v>766</v>
      </c>
      <c r="J129" s="2" t="s">
        <v>466</v>
      </c>
    </row>
    <row r="130" spans="1:10" x14ac:dyDescent="0.3">
      <c r="A130" s="2" t="s">
        <v>637</v>
      </c>
      <c r="C130" s="2">
        <v>-6983</v>
      </c>
      <c r="E130" s="2">
        <f>tblTrialBalance[[#This Row],[Opening Balance (CY)]]+tblTrialBalance[[#This Row],[Debit (CY)]]-tblTrialBalance[[#This Row],[Credit (CY)]]</f>
        <v>-6983</v>
      </c>
      <c r="F130" s="2" t="s">
        <v>765</v>
      </c>
      <c r="G130" s="1" t="s">
        <v>766</v>
      </c>
      <c r="J130" s="2" t="s">
        <v>466</v>
      </c>
    </row>
    <row r="131" spans="1:10" x14ac:dyDescent="0.3">
      <c r="A131" s="2" t="s">
        <v>638</v>
      </c>
      <c r="C131" s="2">
        <v>-10760</v>
      </c>
      <c r="E131" s="2">
        <f>tblTrialBalance[[#This Row],[Opening Balance (CY)]]+tblTrialBalance[[#This Row],[Debit (CY)]]-tblTrialBalance[[#This Row],[Credit (CY)]]</f>
        <v>-10760</v>
      </c>
      <c r="F131" s="2" t="s">
        <v>765</v>
      </c>
      <c r="G131" s="1" t="s">
        <v>766</v>
      </c>
      <c r="J131" s="2" t="s">
        <v>466</v>
      </c>
    </row>
    <row r="132" spans="1:10" x14ac:dyDescent="0.3">
      <c r="A132" s="2" t="s">
        <v>639</v>
      </c>
      <c r="C132" s="2">
        <v>6794</v>
      </c>
      <c r="E132" s="2">
        <f>tblTrialBalance[[#This Row],[Opening Balance (CY)]]+tblTrialBalance[[#This Row],[Debit (CY)]]-tblTrialBalance[[#This Row],[Credit (CY)]]</f>
        <v>6794</v>
      </c>
      <c r="F132" s="2" t="s">
        <v>765</v>
      </c>
      <c r="G132" s="1" t="s">
        <v>766</v>
      </c>
      <c r="J132" s="2" t="s">
        <v>467</v>
      </c>
    </row>
    <row r="133" spans="1:10" x14ac:dyDescent="0.3">
      <c r="A133" s="2" t="s">
        <v>640</v>
      </c>
      <c r="C133" s="2">
        <v>60898.41</v>
      </c>
      <c r="E133" s="2">
        <f>tblTrialBalance[[#This Row],[Opening Balance (CY)]]+tblTrialBalance[[#This Row],[Debit (CY)]]-tblTrialBalance[[#This Row],[Credit (CY)]]</f>
        <v>60898.41</v>
      </c>
      <c r="F133" s="2" t="s">
        <v>765</v>
      </c>
      <c r="G133" s="1" t="s">
        <v>766</v>
      </c>
      <c r="J133" s="2" t="s">
        <v>467</v>
      </c>
    </row>
    <row r="134" spans="1:10" x14ac:dyDescent="0.3">
      <c r="A134" s="2" t="s">
        <v>641</v>
      </c>
      <c r="C134" s="2">
        <v>-113083.53</v>
      </c>
      <c r="E134" s="2">
        <f>tblTrialBalance[[#This Row],[Opening Balance (CY)]]+tblTrialBalance[[#This Row],[Debit (CY)]]-tblTrialBalance[[#This Row],[Credit (CY)]]</f>
        <v>-113083.53</v>
      </c>
      <c r="F134" s="2" t="s">
        <v>765</v>
      </c>
      <c r="G134" s="1" t="s">
        <v>766</v>
      </c>
      <c r="J134" s="2" t="s">
        <v>469</v>
      </c>
    </row>
    <row r="135" spans="1:10" x14ac:dyDescent="0.3">
      <c r="A135" s="2" t="s">
        <v>642</v>
      </c>
      <c r="C135" s="2">
        <v>1185.44</v>
      </c>
      <c r="E135" s="2">
        <f>tblTrialBalance[[#This Row],[Opening Balance (CY)]]+tblTrialBalance[[#This Row],[Debit (CY)]]-tblTrialBalance[[#This Row],[Credit (CY)]]</f>
        <v>1185.44</v>
      </c>
      <c r="F135" s="2" t="s">
        <v>765</v>
      </c>
      <c r="G135" s="1" t="s">
        <v>766</v>
      </c>
      <c r="J135" s="2" t="s">
        <v>469</v>
      </c>
    </row>
    <row r="136" spans="1:10" x14ac:dyDescent="0.3">
      <c r="A136" s="2" t="s">
        <v>643</v>
      </c>
      <c r="C136" s="2">
        <v>-13411.98</v>
      </c>
      <c r="E136" s="2">
        <f>tblTrialBalance[[#This Row],[Opening Balance (CY)]]+tblTrialBalance[[#This Row],[Debit (CY)]]-tblTrialBalance[[#This Row],[Credit (CY)]]</f>
        <v>-13411.98</v>
      </c>
      <c r="F136" s="2" t="s">
        <v>765</v>
      </c>
      <c r="G136" s="1" t="s">
        <v>766</v>
      </c>
      <c r="J136" s="2" t="s">
        <v>469</v>
      </c>
    </row>
    <row r="137" spans="1:10" x14ac:dyDescent="0.3">
      <c r="A137" s="2" t="s">
        <v>644</v>
      </c>
      <c r="C137" s="2">
        <v>1185.2</v>
      </c>
      <c r="E137" s="2">
        <f>tblTrialBalance[[#This Row],[Opening Balance (CY)]]+tblTrialBalance[[#This Row],[Debit (CY)]]-tblTrialBalance[[#This Row],[Credit (CY)]]</f>
        <v>1185.2</v>
      </c>
      <c r="F137" s="2" t="s">
        <v>765</v>
      </c>
      <c r="G137" s="1" t="s">
        <v>766</v>
      </c>
      <c r="J137" s="2" t="s">
        <v>469</v>
      </c>
    </row>
    <row r="138" spans="1:10" x14ac:dyDescent="0.3">
      <c r="A138" s="2" t="s">
        <v>645</v>
      </c>
      <c r="C138" s="2">
        <v>-45000</v>
      </c>
      <c r="E138" s="2">
        <f>tblTrialBalance[[#This Row],[Opening Balance (CY)]]+tblTrialBalance[[#This Row],[Debit (CY)]]-tblTrialBalance[[#This Row],[Credit (CY)]]</f>
        <v>-45000</v>
      </c>
      <c r="F138" s="2" t="s">
        <v>765</v>
      </c>
      <c r="G138" s="1" t="s">
        <v>766</v>
      </c>
      <c r="J138" s="2" t="s">
        <v>470</v>
      </c>
    </row>
    <row r="139" spans="1:10" x14ac:dyDescent="0.3">
      <c r="A139" s="2" t="s">
        <v>646</v>
      </c>
      <c r="C139" s="2">
        <v>-2301252.84</v>
      </c>
      <c r="E139" s="2">
        <f>tblTrialBalance[[#This Row],[Opening Balance (CY)]]+tblTrialBalance[[#This Row],[Debit (CY)]]-tblTrialBalance[[#This Row],[Credit (CY)]]</f>
        <v>-2301252.84</v>
      </c>
      <c r="F139" s="2" t="s">
        <v>765</v>
      </c>
      <c r="G139" s="1" t="s">
        <v>766</v>
      </c>
      <c r="J139" s="2" t="s">
        <v>471</v>
      </c>
    </row>
    <row r="140" spans="1:10" x14ac:dyDescent="0.3">
      <c r="A140" s="2" t="s">
        <v>647</v>
      </c>
      <c r="C140" s="2">
        <v>-188317.5</v>
      </c>
      <c r="E140" s="2">
        <f>tblTrialBalance[[#This Row],[Opening Balance (CY)]]+tblTrialBalance[[#This Row],[Debit (CY)]]-tblTrialBalance[[#This Row],[Credit (CY)]]</f>
        <v>-188317.5</v>
      </c>
      <c r="F140" s="2" t="s">
        <v>765</v>
      </c>
      <c r="G140" s="1" t="s">
        <v>766</v>
      </c>
      <c r="J140" s="2" t="s">
        <v>469</v>
      </c>
    </row>
    <row r="141" spans="1:10" x14ac:dyDescent="0.3">
      <c r="A141" s="2" t="s">
        <v>648</v>
      </c>
      <c r="C141" s="2">
        <v>-188317.5</v>
      </c>
      <c r="E141" s="2">
        <f>tblTrialBalance[[#This Row],[Opening Balance (CY)]]+tblTrialBalance[[#This Row],[Debit (CY)]]-tblTrialBalance[[#This Row],[Credit (CY)]]</f>
        <v>-188317.5</v>
      </c>
      <c r="F141" s="2" t="s">
        <v>765</v>
      </c>
      <c r="G141" s="1" t="s">
        <v>766</v>
      </c>
      <c r="J141" s="2" t="s">
        <v>469</v>
      </c>
    </row>
    <row r="142" spans="1:10" x14ac:dyDescent="0.3">
      <c r="A142" s="2" t="s">
        <v>649</v>
      </c>
      <c r="C142" s="2">
        <v>-2839</v>
      </c>
      <c r="E142" s="2">
        <f>tblTrialBalance[[#This Row],[Opening Balance (CY)]]+tblTrialBalance[[#This Row],[Debit (CY)]]-tblTrialBalance[[#This Row],[Credit (CY)]]</f>
        <v>-2839</v>
      </c>
      <c r="F142" s="2" t="s">
        <v>765</v>
      </c>
      <c r="G142" s="1" t="s">
        <v>766</v>
      </c>
      <c r="J142" s="2" t="s">
        <v>469</v>
      </c>
    </row>
    <row r="143" spans="1:10" x14ac:dyDescent="0.3">
      <c r="A143" s="2" t="s">
        <v>472</v>
      </c>
      <c r="C143" s="2">
        <v>-73711</v>
      </c>
      <c r="E143" s="2">
        <f>tblTrialBalance[[#This Row],[Opening Balance (CY)]]+tblTrialBalance[[#This Row],[Debit (CY)]]-tblTrialBalance[[#This Row],[Credit (CY)]]</f>
        <v>-73711</v>
      </c>
      <c r="F143" s="2" t="s">
        <v>765</v>
      </c>
      <c r="G143" s="1" t="s">
        <v>766</v>
      </c>
      <c r="J143" s="2" t="s">
        <v>472</v>
      </c>
    </row>
    <row r="144" spans="1:10" x14ac:dyDescent="0.3">
      <c r="A144" s="2" t="s">
        <v>650</v>
      </c>
      <c r="C144" s="2">
        <v>-500</v>
      </c>
      <c r="E144" s="2">
        <f>tblTrialBalance[[#This Row],[Opening Balance (CY)]]+tblTrialBalance[[#This Row],[Debit (CY)]]-tblTrialBalance[[#This Row],[Credit (CY)]]</f>
        <v>-500</v>
      </c>
      <c r="F144" s="2" t="s">
        <v>765</v>
      </c>
      <c r="G144" s="1" t="s">
        <v>766</v>
      </c>
      <c r="J144" s="2" t="s">
        <v>469</v>
      </c>
    </row>
    <row r="145" spans="1:10" x14ac:dyDescent="0.3">
      <c r="A145" s="2" t="s">
        <v>651</v>
      </c>
      <c r="C145" s="2">
        <v>-886528</v>
      </c>
      <c r="E145" s="2">
        <f>tblTrialBalance[[#This Row],[Opening Balance (CY)]]+tblTrialBalance[[#This Row],[Debit (CY)]]-tblTrialBalance[[#This Row],[Credit (CY)]]</f>
        <v>-886528</v>
      </c>
      <c r="F145" s="2" t="s">
        <v>765</v>
      </c>
      <c r="G145" s="1" t="s">
        <v>766</v>
      </c>
      <c r="J145" s="2" t="s">
        <v>473</v>
      </c>
    </row>
    <row r="146" spans="1:10" x14ac:dyDescent="0.3">
      <c r="A146" s="2" t="s">
        <v>652</v>
      </c>
      <c r="C146" s="2">
        <v>-4210</v>
      </c>
      <c r="E146" s="2">
        <f>tblTrialBalance[[#This Row],[Opening Balance (CY)]]+tblTrialBalance[[#This Row],[Debit (CY)]]-tblTrialBalance[[#This Row],[Credit (CY)]]</f>
        <v>-4210</v>
      </c>
      <c r="F146" s="2" t="s">
        <v>765</v>
      </c>
      <c r="G146" s="1" t="s">
        <v>766</v>
      </c>
      <c r="J146" s="2" t="s">
        <v>469</v>
      </c>
    </row>
    <row r="147" spans="1:10" x14ac:dyDescent="0.3">
      <c r="A147" s="2" t="s">
        <v>653</v>
      </c>
      <c r="C147" s="2">
        <v>-17545</v>
      </c>
      <c r="E147" s="2">
        <f>tblTrialBalance[[#This Row],[Opening Balance (CY)]]+tblTrialBalance[[#This Row],[Debit (CY)]]-tblTrialBalance[[#This Row],[Credit (CY)]]</f>
        <v>-17545</v>
      </c>
      <c r="F147" s="2" t="s">
        <v>765</v>
      </c>
      <c r="G147" s="1" t="s">
        <v>766</v>
      </c>
      <c r="J147" s="2" t="s">
        <v>469</v>
      </c>
    </row>
    <row r="148" spans="1:10" x14ac:dyDescent="0.3">
      <c r="A148" s="2" t="s">
        <v>654</v>
      </c>
      <c r="C148" s="2">
        <v>-5233757</v>
      </c>
      <c r="E148" s="2">
        <f>tblTrialBalance[[#This Row],[Opening Balance (CY)]]+tblTrialBalance[[#This Row],[Debit (CY)]]-tblTrialBalance[[#This Row],[Credit (CY)]]</f>
        <v>-5233757</v>
      </c>
      <c r="F148" s="2" t="s">
        <v>765</v>
      </c>
      <c r="G148" s="1" t="s">
        <v>766</v>
      </c>
      <c r="J148" s="2" t="s">
        <v>471</v>
      </c>
    </row>
    <row r="149" spans="1:10" x14ac:dyDescent="0.3">
      <c r="A149" s="2" t="s">
        <v>655</v>
      </c>
      <c r="C149" s="2">
        <v>-100000</v>
      </c>
      <c r="E149" s="2">
        <f>tblTrialBalance[[#This Row],[Opening Balance (CY)]]+tblTrialBalance[[#This Row],[Debit (CY)]]-tblTrialBalance[[#This Row],[Credit (CY)]]</f>
        <v>-100000</v>
      </c>
      <c r="F149" s="2" t="s">
        <v>765</v>
      </c>
      <c r="G149" s="1" t="s">
        <v>766</v>
      </c>
      <c r="J149" s="2" t="s">
        <v>34</v>
      </c>
    </row>
    <row r="150" spans="1:10" x14ac:dyDescent="0.3">
      <c r="A150" s="2" t="s">
        <v>656</v>
      </c>
      <c r="C150" s="2">
        <v>-50000000</v>
      </c>
      <c r="E150" s="2">
        <f>tblTrialBalance[[#This Row],[Opening Balance (CY)]]+tblTrialBalance[[#This Row],[Debit (CY)]]-tblTrialBalance[[#This Row],[Credit (CY)]]</f>
        <v>-50000000</v>
      </c>
      <c r="F150" s="2" t="s">
        <v>765</v>
      </c>
      <c r="G150" s="1" t="s">
        <v>766</v>
      </c>
      <c r="J150" s="2" t="s">
        <v>474</v>
      </c>
    </row>
    <row r="151" spans="1:10" x14ac:dyDescent="0.3">
      <c r="A151" s="2" t="s">
        <v>657</v>
      </c>
      <c r="C151" s="2">
        <v>-605376.65</v>
      </c>
      <c r="E151" s="2">
        <f>tblTrialBalance[[#This Row],[Opening Balance (CY)]]+tblTrialBalance[[#This Row],[Debit (CY)]]-tblTrialBalance[[#This Row],[Credit (CY)]]</f>
        <v>-605376.65</v>
      </c>
      <c r="F151" s="2" t="s">
        <v>765</v>
      </c>
      <c r="G151" s="1" t="s">
        <v>766</v>
      </c>
      <c r="J151" s="2" t="s">
        <v>469</v>
      </c>
    </row>
    <row r="152" spans="1:10" x14ac:dyDescent="0.3">
      <c r="A152" s="2" t="s">
        <v>658</v>
      </c>
      <c r="C152" s="2">
        <v>-787448</v>
      </c>
      <c r="E152" s="2">
        <f>tblTrialBalance[[#This Row],[Opening Balance (CY)]]+tblTrialBalance[[#This Row],[Debit (CY)]]-tblTrialBalance[[#This Row],[Credit (CY)]]</f>
        <v>-787448</v>
      </c>
      <c r="F152" s="2" t="s">
        <v>765</v>
      </c>
      <c r="G152" s="1" t="s">
        <v>766</v>
      </c>
      <c r="J152" s="2" t="s">
        <v>469</v>
      </c>
    </row>
    <row r="153" spans="1:10" x14ac:dyDescent="0.3">
      <c r="A153" s="2" t="s">
        <v>659</v>
      </c>
      <c r="C153" s="2">
        <v>-55667133.899999999</v>
      </c>
      <c r="E153" s="2">
        <f>tblTrialBalance[[#This Row],[Opening Balance (CY)]]+tblTrialBalance[[#This Row],[Debit (CY)]]-tblTrialBalance[[#This Row],[Credit (CY)]]</f>
        <v>-55667133.899999999</v>
      </c>
      <c r="F153" s="2" t="s">
        <v>765</v>
      </c>
      <c r="G153" s="1" t="s">
        <v>766</v>
      </c>
      <c r="J153" s="2" t="s">
        <v>475</v>
      </c>
    </row>
    <row r="154" spans="1:10" x14ac:dyDescent="0.3">
      <c r="A154" s="2" t="s">
        <v>73</v>
      </c>
      <c r="C154" s="2">
        <v>-240207.48</v>
      </c>
      <c r="E154" s="2">
        <f>tblTrialBalance[[#This Row],[Opening Balance (CY)]]+tblTrialBalance[[#This Row],[Debit (CY)]]-tblTrialBalance[[#This Row],[Credit (CY)]]</f>
        <v>-240207.48</v>
      </c>
      <c r="F154" s="2" t="s">
        <v>765</v>
      </c>
      <c r="G154" s="1" t="s">
        <v>766</v>
      </c>
      <c r="J154" s="2" t="s">
        <v>476</v>
      </c>
    </row>
    <row r="155" spans="1:10" x14ac:dyDescent="0.3">
      <c r="A155" s="2" t="s">
        <v>660</v>
      </c>
      <c r="C155" s="2">
        <v>-34000</v>
      </c>
      <c r="E155" s="2">
        <f>tblTrialBalance[[#This Row],[Opening Balance (CY)]]+tblTrialBalance[[#This Row],[Debit (CY)]]-tblTrialBalance[[#This Row],[Credit (CY)]]</f>
        <v>-34000</v>
      </c>
      <c r="F155" s="2" t="s">
        <v>765</v>
      </c>
      <c r="G155" s="1" t="s">
        <v>766</v>
      </c>
      <c r="J155" s="2" t="s">
        <v>477</v>
      </c>
    </row>
    <row r="156" spans="1:10" x14ac:dyDescent="0.3">
      <c r="A156" s="2" t="s">
        <v>661</v>
      </c>
      <c r="C156" s="2">
        <v>429235.19</v>
      </c>
      <c r="E156" s="2">
        <f>tblTrialBalance[[#This Row],[Opening Balance (CY)]]+tblTrialBalance[[#This Row],[Debit (CY)]]-tblTrialBalance[[#This Row],[Credit (CY)]]</f>
        <v>429235.19</v>
      </c>
      <c r="G156" s="2" t="s">
        <v>767</v>
      </c>
      <c r="J156" s="2" t="s">
        <v>478</v>
      </c>
    </row>
    <row r="157" spans="1:10" x14ac:dyDescent="0.3">
      <c r="A157" s="2" t="s">
        <v>662</v>
      </c>
      <c r="C157" s="2">
        <v>-2399730</v>
      </c>
      <c r="E157" s="2">
        <f>tblTrialBalance[[#This Row],[Opening Balance (CY)]]+tblTrialBalance[[#This Row],[Debit (CY)]]-tblTrialBalance[[#This Row],[Credit (CY)]]</f>
        <v>-2399730</v>
      </c>
      <c r="G157" s="2" t="s">
        <v>767</v>
      </c>
      <c r="J157" s="2" t="s">
        <v>479</v>
      </c>
    </row>
    <row r="158" spans="1:10" x14ac:dyDescent="0.3">
      <c r="A158" s="2" t="s">
        <v>663</v>
      </c>
      <c r="C158" s="2">
        <v>-78.069999999999993</v>
      </c>
      <c r="E158" s="2">
        <f>tblTrialBalance[[#This Row],[Opening Balance (CY)]]+tblTrialBalance[[#This Row],[Debit (CY)]]-tblTrialBalance[[#This Row],[Credit (CY)]]</f>
        <v>-78.069999999999993</v>
      </c>
      <c r="G158" s="2" t="s">
        <v>767</v>
      </c>
      <c r="J158" s="2" t="s">
        <v>478</v>
      </c>
    </row>
    <row r="159" spans="1:10" x14ac:dyDescent="0.3">
      <c r="A159" s="2" t="s">
        <v>664</v>
      </c>
      <c r="C159" s="2">
        <v>-241543455.87</v>
      </c>
      <c r="E159" s="2">
        <f>tblTrialBalance[[#This Row],[Opening Balance (CY)]]+tblTrialBalance[[#This Row],[Debit (CY)]]-tblTrialBalance[[#This Row],[Credit (CY)]]</f>
        <v>-241543455.87</v>
      </c>
      <c r="G159" s="2" t="s">
        <v>767</v>
      </c>
      <c r="J159" s="2" t="s">
        <v>478</v>
      </c>
    </row>
    <row r="160" spans="1:10" x14ac:dyDescent="0.3">
      <c r="A160" s="2" t="s">
        <v>665</v>
      </c>
      <c r="C160" s="2">
        <v>1250</v>
      </c>
      <c r="E160" s="2">
        <f>tblTrialBalance[[#This Row],[Opening Balance (CY)]]+tblTrialBalance[[#This Row],[Debit (CY)]]-tblTrialBalance[[#This Row],[Credit (CY)]]</f>
        <v>1250</v>
      </c>
      <c r="G160" s="2" t="s">
        <v>767</v>
      </c>
      <c r="J160" s="2" t="s">
        <v>480</v>
      </c>
    </row>
    <row r="161" spans="1:10" x14ac:dyDescent="0.3">
      <c r="A161" s="2" t="s">
        <v>666</v>
      </c>
      <c r="C161" s="2">
        <v>5114185</v>
      </c>
      <c r="E161" s="2">
        <f>tblTrialBalance[[#This Row],[Opening Balance (CY)]]+tblTrialBalance[[#This Row],[Debit (CY)]]-tblTrialBalance[[#This Row],[Credit (CY)]]</f>
        <v>5114185</v>
      </c>
      <c r="G161" s="2" t="s">
        <v>767</v>
      </c>
      <c r="J161" s="2" t="s">
        <v>481</v>
      </c>
    </row>
    <row r="162" spans="1:10" x14ac:dyDescent="0.3">
      <c r="A162" s="2" t="s">
        <v>667</v>
      </c>
      <c r="C162" s="2">
        <v>1727573.26</v>
      </c>
      <c r="E162" s="2">
        <f>tblTrialBalance[[#This Row],[Opening Balance (CY)]]+tblTrialBalance[[#This Row],[Debit (CY)]]-tblTrialBalance[[#This Row],[Credit (CY)]]</f>
        <v>1727573.26</v>
      </c>
      <c r="G162" s="2" t="s">
        <v>767</v>
      </c>
      <c r="J162" s="2" t="s">
        <v>481</v>
      </c>
    </row>
    <row r="163" spans="1:10" x14ac:dyDescent="0.3">
      <c r="A163" s="2" t="s">
        <v>668</v>
      </c>
      <c r="C163" s="2">
        <v>995.95</v>
      </c>
      <c r="E163" s="2">
        <f>tblTrialBalance[[#This Row],[Opening Balance (CY)]]+tblTrialBalance[[#This Row],[Debit (CY)]]-tblTrialBalance[[#This Row],[Credit (CY)]]</f>
        <v>995.95</v>
      </c>
      <c r="G163" s="2" t="s">
        <v>767</v>
      </c>
      <c r="J163" s="2" t="s">
        <v>482</v>
      </c>
    </row>
    <row r="164" spans="1:10" x14ac:dyDescent="0.3">
      <c r="A164" s="2" t="s">
        <v>669</v>
      </c>
      <c r="C164" s="2">
        <v>69502.2</v>
      </c>
      <c r="E164" s="2">
        <f>tblTrialBalance[[#This Row],[Opening Balance (CY)]]+tblTrialBalance[[#This Row],[Debit (CY)]]-tblTrialBalance[[#This Row],[Credit (CY)]]</f>
        <v>69502.2</v>
      </c>
      <c r="G164" s="2" t="s">
        <v>767</v>
      </c>
      <c r="J164" s="2" t="s">
        <v>483</v>
      </c>
    </row>
    <row r="165" spans="1:10" x14ac:dyDescent="0.3">
      <c r="A165" s="2" t="s">
        <v>670</v>
      </c>
      <c r="C165" s="2">
        <v>14016830.02</v>
      </c>
      <c r="E165" s="2">
        <f>tblTrialBalance[[#This Row],[Opening Balance (CY)]]+tblTrialBalance[[#This Row],[Debit (CY)]]-tblTrialBalance[[#This Row],[Credit (CY)]]</f>
        <v>14016830.02</v>
      </c>
      <c r="G165" s="2" t="s">
        <v>767</v>
      </c>
      <c r="J165" s="2" t="s">
        <v>484</v>
      </c>
    </row>
    <row r="166" spans="1:10" x14ac:dyDescent="0.3">
      <c r="A166" s="2" t="s">
        <v>671</v>
      </c>
      <c r="C166" s="2">
        <v>8756737.1300000008</v>
      </c>
      <c r="E166" s="2">
        <f>tblTrialBalance[[#This Row],[Opening Balance (CY)]]+tblTrialBalance[[#This Row],[Debit (CY)]]-tblTrialBalance[[#This Row],[Credit (CY)]]</f>
        <v>8756737.1300000008</v>
      </c>
      <c r="G166" s="2" t="s">
        <v>767</v>
      </c>
      <c r="J166" s="2" t="s">
        <v>484</v>
      </c>
    </row>
    <row r="167" spans="1:10" x14ac:dyDescent="0.3">
      <c r="A167" s="2" t="s">
        <v>672</v>
      </c>
      <c r="C167" s="2">
        <v>5915472.5499999998</v>
      </c>
      <c r="E167" s="2">
        <f>tblTrialBalance[[#This Row],[Opening Balance (CY)]]+tblTrialBalance[[#This Row],[Debit (CY)]]-tblTrialBalance[[#This Row],[Credit (CY)]]</f>
        <v>5915472.5499999998</v>
      </c>
      <c r="G167" s="2" t="s">
        <v>767</v>
      </c>
      <c r="J167" s="2" t="s">
        <v>484</v>
      </c>
    </row>
    <row r="168" spans="1:10" x14ac:dyDescent="0.3">
      <c r="A168" s="2" t="s">
        <v>673</v>
      </c>
      <c r="C168" s="2">
        <v>352500</v>
      </c>
      <c r="E168" s="2">
        <f>tblTrialBalance[[#This Row],[Opening Balance (CY)]]+tblTrialBalance[[#This Row],[Debit (CY)]]-tblTrialBalance[[#This Row],[Credit (CY)]]</f>
        <v>352500</v>
      </c>
      <c r="G168" s="2" t="s">
        <v>767</v>
      </c>
      <c r="J168" s="2" t="s">
        <v>484</v>
      </c>
    </row>
    <row r="169" spans="1:10" x14ac:dyDescent="0.3">
      <c r="A169" s="2" t="s">
        <v>674</v>
      </c>
      <c r="C169" s="2">
        <v>351018.76</v>
      </c>
      <c r="E169" s="2">
        <f>tblTrialBalance[[#This Row],[Opening Balance (CY)]]+tblTrialBalance[[#This Row],[Debit (CY)]]-tblTrialBalance[[#This Row],[Credit (CY)]]</f>
        <v>351018.76</v>
      </c>
      <c r="G169" s="2" t="s">
        <v>767</v>
      </c>
      <c r="J169" s="2" t="s">
        <v>485</v>
      </c>
    </row>
    <row r="170" spans="1:10" x14ac:dyDescent="0.3">
      <c r="A170" s="2" t="s">
        <v>486</v>
      </c>
      <c r="C170" s="2">
        <v>350926.34</v>
      </c>
      <c r="E170" s="2">
        <f>tblTrialBalance[[#This Row],[Opening Balance (CY)]]+tblTrialBalance[[#This Row],[Debit (CY)]]-tblTrialBalance[[#This Row],[Credit (CY)]]</f>
        <v>350926.34</v>
      </c>
      <c r="G170" s="2" t="s">
        <v>767</v>
      </c>
      <c r="J170" s="2" t="s">
        <v>486</v>
      </c>
    </row>
    <row r="171" spans="1:10" x14ac:dyDescent="0.3">
      <c r="A171" s="2" t="s">
        <v>675</v>
      </c>
      <c r="C171" s="2">
        <v>1700000</v>
      </c>
      <c r="E171" s="2">
        <f>tblTrialBalance[[#This Row],[Opening Balance (CY)]]+tblTrialBalance[[#This Row],[Debit (CY)]]-tblTrialBalance[[#This Row],[Credit (CY)]]</f>
        <v>1700000</v>
      </c>
      <c r="G171" s="2" t="s">
        <v>767</v>
      </c>
      <c r="J171" s="2" t="s">
        <v>487</v>
      </c>
    </row>
    <row r="172" spans="1:10" x14ac:dyDescent="0.3">
      <c r="A172" s="2" t="s">
        <v>676</v>
      </c>
      <c r="C172" s="2">
        <v>323157.32</v>
      </c>
      <c r="E172" s="2">
        <f>tblTrialBalance[[#This Row],[Opening Balance (CY)]]+tblTrialBalance[[#This Row],[Debit (CY)]]-tblTrialBalance[[#This Row],[Credit (CY)]]</f>
        <v>323157.32</v>
      </c>
      <c r="G172" s="2" t="s">
        <v>767</v>
      </c>
      <c r="J172" s="2" t="s">
        <v>481</v>
      </c>
    </row>
    <row r="173" spans="1:10" x14ac:dyDescent="0.3">
      <c r="A173" s="2" t="s">
        <v>677</v>
      </c>
      <c r="C173" s="2">
        <v>46755</v>
      </c>
      <c r="E173" s="2">
        <f>tblTrialBalance[[#This Row],[Opening Balance (CY)]]+tblTrialBalance[[#This Row],[Debit (CY)]]-tblTrialBalance[[#This Row],[Credit (CY)]]</f>
        <v>46755</v>
      </c>
      <c r="G173" s="2" t="s">
        <v>767</v>
      </c>
      <c r="J173" s="2" t="s">
        <v>480</v>
      </c>
    </row>
    <row r="174" spans="1:10" x14ac:dyDescent="0.3">
      <c r="A174" s="2" t="s">
        <v>678</v>
      </c>
      <c r="C174" s="2">
        <v>83781</v>
      </c>
      <c r="E174" s="2">
        <f>tblTrialBalance[[#This Row],[Opening Balance (CY)]]+tblTrialBalance[[#This Row],[Debit (CY)]]-tblTrialBalance[[#This Row],[Credit (CY)]]</f>
        <v>83781</v>
      </c>
      <c r="G174" s="2" t="s">
        <v>767</v>
      </c>
      <c r="J174" s="2" t="s">
        <v>480</v>
      </c>
    </row>
    <row r="175" spans="1:10" x14ac:dyDescent="0.3">
      <c r="A175" s="2" t="s">
        <v>679</v>
      </c>
      <c r="C175" s="2">
        <v>107300</v>
      </c>
      <c r="E175" s="2">
        <f>tblTrialBalance[[#This Row],[Opening Balance (CY)]]+tblTrialBalance[[#This Row],[Debit (CY)]]-tblTrialBalance[[#This Row],[Credit (CY)]]</f>
        <v>107300</v>
      </c>
      <c r="G175" s="2" t="s">
        <v>767</v>
      </c>
      <c r="J175" s="2" t="s">
        <v>483</v>
      </c>
    </row>
    <row r="176" spans="1:10" x14ac:dyDescent="0.3">
      <c r="A176" s="2" t="s">
        <v>680</v>
      </c>
      <c r="C176" s="2">
        <v>58881.93</v>
      </c>
      <c r="E176" s="2">
        <f>tblTrialBalance[[#This Row],[Opening Balance (CY)]]+tblTrialBalance[[#This Row],[Debit (CY)]]-tblTrialBalance[[#This Row],[Credit (CY)]]</f>
        <v>58881.93</v>
      </c>
      <c r="G176" s="2" t="s">
        <v>767</v>
      </c>
      <c r="J176" s="2" t="s">
        <v>488</v>
      </c>
    </row>
    <row r="177" spans="1:10" x14ac:dyDescent="0.3">
      <c r="A177" s="2" t="s">
        <v>681</v>
      </c>
      <c r="C177" s="2">
        <v>456500</v>
      </c>
      <c r="E177" s="2">
        <f>tblTrialBalance[[#This Row],[Opening Balance (CY)]]+tblTrialBalance[[#This Row],[Debit (CY)]]-tblTrialBalance[[#This Row],[Credit (CY)]]</f>
        <v>456500</v>
      </c>
      <c r="G177" s="2" t="s">
        <v>767</v>
      </c>
      <c r="J177" s="2" t="s">
        <v>489</v>
      </c>
    </row>
    <row r="178" spans="1:10" x14ac:dyDescent="0.3">
      <c r="A178" s="2" t="s">
        <v>682</v>
      </c>
      <c r="C178" s="2">
        <v>125288301.2</v>
      </c>
      <c r="E178" s="2">
        <f>tblTrialBalance[[#This Row],[Opening Balance (CY)]]+tblTrialBalance[[#This Row],[Debit (CY)]]-tblTrialBalance[[#This Row],[Credit (CY)]]</f>
        <v>125288301.2</v>
      </c>
      <c r="G178" s="2" t="s">
        <v>767</v>
      </c>
      <c r="J178" s="2" t="s">
        <v>490</v>
      </c>
    </row>
    <row r="179" spans="1:10" x14ac:dyDescent="0.3">
      <c r="A179" s="2" t="s">
        <v>491</v>
      </c>
      <c r="C179" s="2">
        <v>511340</v>
      </c>
      <c r="E179" s="2">
        <f>tblTrialBalance[[#This Row],[Opening Balance (CY)]]+tblTrialBalance[[#This Row],[Debit (CY)]]-tblTrialBalance[[#This Row],[Credit (CY)]]</f>
        <v>511340</v>
      </c>
      <c r="G179" s="2" t="s">
        <v>767</v>
      </c>
      <c r="J179" s="2" t="s">
        <v>491</v>
      </c>
    </row>
    <row r="180" spans="1:10" x14ac:dyDescent="0.3">
      <c r="A180" s="2" t="s">
        <v>492</v>
      </c>
      <c r="C180" s="2">
        <v>17896</v>
      </c>
      <c r="E180" s="2">
        <f>tblTrialBalance[[#This Row],[Opening Balance (CY)]]+tblTrialBalance[[#This Row],[Debit (CY)]]-tblTrialBalance[[#This Row],[Credit (CY)]]</f>
        <v>17896</v>
      </c>
      <c r="G180" s="2" t="s">
        <v>767</v>
      </c>
      <c r="J180" s="2" t="s">
        <v>492</v>
      </c>
    </row>
    <row r="181" spans="1:10" x14ac:dyDescent="0.3">
      <c r="A181" s="2" t="s">
        <v>493</v>
      </c>
      <c r="C181" s="2">
        <v>5017420.71</v>
      </c>
      <c r="E181" s="2">
        <f>tblTrialBalance[[#This Row],[Opening Balance (CY)]]+tblTrialBalance[[#This Row],[Debit (CY)]]-tblTrialBalance[[#This Row],[Credit (CY)]]</f>
        <v>5017420.71</v>
      </c>
      <c r="G181" s="2" t="s">
        <v>767</v>
      </c>
      <c r="J181" s="2" t="s">
        <v>493</v>
      </c>
    </row>
    <row r="182" spans="1:10" x14ac:dyDescent="0.3">
      <c r="A182" s="2" t="s">
        <v>683</v>
      </c>
      <c r="C182" s="2">
        <v>181450</v>
      </c>
      <c r="E182" s="2">
        <f>tblTrialBalance[[#This Row],[Opening Balance (CY)]]+tblTrialBalance[[#This Row],[Debit (CY)]]-tblTrialBalance[[#This Row],[Credit (CY)]]</f>
        <v>181450</v>
      </c>
      <c r="G182" s="2" t="s">
        <v>767</v>
      </c>
      <c r="J182" s="2" t="s">
        <v>494</v>
      </c>
    </row>
    <row r="183" spans="1:10" x14ac:dyDescent="0.3">
      <c r="A183" s="2" t="s">
        <v>684</v>
      </c>
      <c r="C183" s="2">
        <v>12150</v>
      </c>
      <c r="E183" s="2">
        <f>tblTrialBalance[[#This Row],[Opening Balance (CY)]]+tblTrialBalance[[#This Row],[Debit (CY)]]-tblTrialBalance[[#This Row],[Credit (CY)]]</f>
        <v>12150</v>
      </c>
      <c r="G183" s="2" t="s">
        <v>767</v>
      </c>
      <c r="J183" s="2" t="s">
        <v>494</v>
      </c>
    </row>
    <row r="184" spans="1:10" x14ac:dyDescent="0.3">
      <c r="A184" s="2" t="s">
        <v>685</v>
      </c>
      <c r="C184" s="2">
        <v>78750</v>
      </c>
      <c r="E184" s="2">
        <f>tblTrialBalance[[#This Row],[Opening Balance (CY)]]+tblTrialBalance[[#This Row],[Debit (CY)]]-tblTrialBalance[[#This Row],[Credit (CY)]]</f>
        <v>78750</v>
      </c>
      <c r="G184" s="2" t="s">
        <v>767</v>
      </c>
      <c r="J184" s="2" t="s">
        <v>494</v>
      </c>
    </row>
    <row r="185" spans="1:10" x14ac:dyDescent="0.3">
      <c r="A185" s="2" t="s">
        <v>686</v>
      </c>
      <c r="C185" s="2">
        <v>13308.27</v>
      </c>
      <c r="E185" s="2">
        <f>tblTrialBalance[[#This Row],[Opening Balance (CY)]]+tblTrialBalance[[#This Row],[Debit (CY)]]-tblTrialBalance[[#This Row],[Credit (CY)]]</f>
        <v>13308.27</v>
      </c>
      <c r="G185" s="2" t="s">
        <v>767</v>
      </c>
      <c r="J185" s="2" t="s">
        <v>482</v>
      </c>
    </row>
    <row r="186" spans="1:10" x14ac:dyDescent="0.3">
      <c r="A186" s="2" t="s">
        <v>687</v>
      </c>
      <c r="C186" s="2">
        <v>249594.41</v>
      </c>
      <c r="E186" s="2">
        <f>tblTrialBalance[[#This Row],[Opening Balance (CY)]]+tblTrialBalance[[#This Row],[Debit (CY)]]-tblTrialBalance[[#This Row],[Credit (CY)]]</f>
        <v>249594.41</v>
      </c>
      <c r="G186" s="2" t="s">
        <v>767</v>
      </c>
      <c r="J186" s="2" t="s">
        <v>494</v>
      </c>
    </row>
    <row r="187" spans="1:10" x14ac:dyDescent="0.3">
      <c r="A187" s="2" t="s">
        <v>688</v>
      </c>
      <c r="C187" s="2">
        <v>416843</v>
      </c>
      <c r="E187" s="2">
        <f>tblTrialBalance[[#This Row],[Opening Balance (CY)]]+tblTrialBalance[[#This Row],[Debit (CY)]]-tblTrialBalance[[#This Row],[Credit (CY)]]</f>
        <v>416843</v>
      </c>
      <c r="G187" s="2" t="s">
        <v>767</v>
      </c>
      <c r="J187" s="2" t="s">
        <v>494</v>
      </c>
    </row>
    <row r="188" spans="1:10" x14ac:dyDescent="0.3">
      <c r="A188" s="2" t="s">
        <v>689</v>
      </c>
      <c r="C188" s="2">
        <v>2623194.88</v>
      </c>
      <c r="E188" s="2">
        <f>tblTrialBalance[[#This Row],[Opening Balance (CY)]]+tblTrialBalance[[#This Row],[Debit (CY)]]-tblTrialBalance[[#This Row],[Credit (CY)]]</f>
        <v>2623194.88</v>
      </c>
      <c r="G188" s="2" t="s">
        <v>767</v>
      </c>
      <c r="J188" s="2" t="s">
        <v>494</v>
      </c>
    </row>
    <row r="189" spans="1:10" x14ac:dyDescent="0.3">
      <c r="A189" s="2" t="s">
        <v>495</v>
      </c>
      <c r="C189" s="2">
        <v>626222.61</v>
      </c>
      <c r="E189" s="2">
        <f>tblTrialBalance[[#This Row],[Opening Balance (CY)]]+tblTrialBalance[[#This Row],[Debit (CY)]]-tblTrialBalance[[#This Row],[Credit (CY)]]</f>
        <v>626222.61</v>
      </c>
      <c r="G189" s="2" t="s">
        <v>767</v>
      </c>
      <c r="J189" s="2" t="s">
        <v>495</v>
      </c>
    </row>
    <row r="190" spans="1:10" x14ac:dyDescent="0.3">
      <c r="A190" s="2" t="s">
        <v>690</v>
      </c>
      <c r="C190" s="2">
        <v>-780124.14</v>
      </c>
      <c r="E190" s="2">
        <f>tblTrialBalance[[#This Row],[Opening Balance (CY)]]+tblTrialBalance[[#This Row],[Debit (CY)]]-tblTrialBalance[[#This Row],[Credit (CY)]]</f>
        <v>-780124.14</v>
      </c>
      <c r="G190" s="2" t="s">
        <v>767</v>
      </c>
      <c r="J190" s="2" t="s">
        <v>45</v>
      </c>
    </row>
    <row r="191" spans="1:10" x14ac:dyDescent="0.3">
      <c r="A191" s="2" t="s">
        <v>691</v>
      </c>
      <c r="C191" s="2">
        <v>30344.53</v>
      </c>
      <c r="E191" s="2">
        <f>tblTrialBalance[[#This Row],[Opening Balance (CY)]]+tblTrialBalance[[#This Row],[Debit (CY)]]-tblTrialBalance[[#This Row],[Credit (CY)]]</f>
        <v>30344.53</v>
      </c>
      <c r="G191" s="2" t="s">
        <v>767</v>
      </c>
      <c r="J191" s="2" t="s">
        <v>481</v>
      </c>
    </row>
    <row r="192" spans="1:10" x14ac:dyDescent="0.3">
      <c r="A192" s="2" t="s">
        <v>692</v>
      </c>
      <c r="C192" s="2">
        <v>143549.89000000001</v>
      </c>
      <c r="E192" s="2">
        <f>tblTrialBalance[[#This Row],[Opening Balance (CY)]]+tblTrialBalance[[#This Row],[Debit (CY)]]-tblTrialBalance[[#This Row],[Credit (CY)]]</f>
        <v>143549.89000000001</v>
      </c>
      <c r="G192" s="2" t="s">
        <v>767</v>
      </c>
      <c r="J192" s="2" t="s">
        <v>496</v>
      </c>
    </row>
    <row r="193" spans="1:10" x14ac:dyDescent="0.3">
      <c r="A193" s="2" t="s">
        <v>693</v>
      </c>
      <c r="C193" s="2">
        <v>309460.27</v>
      </c>
      <c r="E193" s="2">
        <f>tblTrialBalance[[#This Row],[Opening Balance (CY)]]+tblTrialBalance[[#This Row],[Debit (CY)]]-tblTrialBalance[[#This Row],[Credit (CY)]]</f>
        <v>309460.27</v>
      </c>
      <c r="G193" s="2" t="s">
        <v>767</v>
      </c>
      <c r="J193" s="2" t="s">
        <v>484</v>
      </c>
    </row>
    <row r="194" spans="1:10" x14ac:dyDescent="0.3">
      <c r="A194" s="2" t="s">
        <v>694</v>
      </c>
      <c r="C194" s="2">
        <v>18659.54</v>
      </c>
      <c r="E194" s="2">
        <f>tblTrialBalance[[#This Row],[Opening Balance (CY)]]+tblTrialBalance[[#This Row],[Debit (CY)]]-tblTrialBalance[[#This Row],[Credit (CY)]]</f>
        <v>18659.54</v>
      </c>
      <c r="G194" s="2" t="s">
        <v>767</v>
      </c>
      <c r="J194" s="2" t="s">
        <v>484</v>
      </c>
    </row>
    <row r="195" spans="1:10" x14ac:dyDescent="0.3">
      <c r="A195" s="2" t="s">
        <v>695</v>
      </c>
      <c r="C195" s="2">
        <v>39364.22</v>
      </c>
      <c r="E195" s="2">
        <f>tblTrialBalance[[#This Row],[Opening Balance (CY)]]+tblTrialBalance[[#This Row],[Debit (CY)]]-tblTrialBalance[[#This Row],[Credit (CY)]]</f>
        <v>39364.22</v>
      </c>
      <c r="G195" s="2" t="s">
        <v>767</v>
      </c>
      <c r="J195" s="2" t="s">
        <v>484</v>
      </c>
    </row>
    <row r="196" spans="1:10" x14ac:dyDescent="0.3">
      <c r="A196" s="2" t="s">
        <v>696</v>
      </c>
      <c r="C196" s="2">
        <v>25125</v>
      </c>
      <c r="E196" s="2">
        <f>tblTrialBalance[[#This Row],[Opening Balance (CY)]]+tblTrialBalance[[#This Row],[Debit (CY)]]-tblTrialBalance[[#This Row],[Credit (CY)]]</f>
        <v>25125</v>
      </c>
      <c r="G196" s="2" t="s">
        <v>767</v>
      </c>
      <c r="J196" s="2" t="s">
        <v>484</v>
      </c>
    </row>
    <row r="197" spans="1:10" x14ac:dyDescent="0.3">
      <c r="A197" s="2" t="s">
        <v>697</v>
      </c>
      <c r="C197" s="2">
        <v>39609.01</v>
      </c>
      <c r="E197" s="2">
        <f>tblTrialBalance[[#This Row],[Opening Balance (CY)]]+tblTrialBalance[[#This Row],[Debit (CY)]]-tblTrialBalance[[#This Row],[Credit (CY)]]</f>
        <v>39609.01</v>
      </c>
      <c r="G197" s="2" t="s">
        <v>767</v>
      </c>
      <c r="J197" s="2" t="s">
        <v>484</v>
      </c>
    </row>
    <row r="198" spans="1:10" x14ac:dyDescent="0.3">
      <c r="A198" s="2" t="s">
        <v>698</v>
      </c>
      <c r="C198" s="2">
        <v>138618.65</v>
      </c>
      <c r="E198" s="2">
        <f>tblTrialBalance[[#This Row],[Opening Balance (CY)]]+tblTrialBalance[[#This Row],[Debit (CY)]]-tblTrialBalance[[#This Row],[Credit (CY)]]</f>
        <v>138618.65</v>
      </c>
      <c r="G198" s="2" t="s">
        <v>767</v>
      </c>
      <c r="J198" s="2" t="s">
        <v>484</v>
      </c>
    </row>
    <row r="199" spans="1:10" x14ac:dyDescent="0.3">
      <c r="A199" s="2" t="s">
        <v>699</v>
      </c>
      <c r="C199" s="2">
        <v>6500</v>
      </c>
      <c r="E199" s="2">
        <f>tblTrialBalance[[#This Row],[Opening Balance (CY)]]+tblTrialBalance[[#This Row],[Debit (CY)]]-tblTrialBalance[[#This Row],[Credit (CY)]]</f>
        <v>6500</v>
      </c>
      <c r="G199" s="2" t="s">
        <v>767</v>
      </c>
      <c r="J199" s="2" t="s">
        <v>497</v>
      </c>
    </row>
    <row r="200" spans="1:10" x14ac:dyDescent="0.3">
      <c r="A200" s="2" t="s">
        <v>700</v>
      </c>
      <c r="C200" s="2">
        <v>2008882</v>
      </c>
      <c r="E200" s="2">
        <f>tblTrialBalance[[#This Row],[Opening Balance (CY)]]+tblTrialBalance[[#This Row],[Debit (CY)]]-tblTrialBalance[[#This Row],[Credit (CY)]]</f>
        <v>2008882</v>
      </c>
      <c r="G200" s="2" t="s">
        <v>767</v>
      </c>
      <c r="J200" s="2" t="s">
        <v>496</v>
      </c>
    </row>
    <row r="201" spans="1:10" x14ac:dyDescent="0.3">
      <c r="A201" s="2" t="s">
        <v>701</v>
      </c>
      <c r="C201" s="2">
        <v>756145.8</v>
      </c>
      <c r="E201" s="2">
        <f>tblTrialBalance[[#This Row],[Opening Balance (CY)]]+tblTrialBalance[[#This Row],[Debit (CY)]]-tblTrialBalance[[#This Row],[Credit (CY)]]</f>
        <v>756145.8</v>
      </c>
      <c r="G201" s="2" t="s">
        <v>767</v>
      </c>
      <c r="J201" s="2" t="s">
        <v>496</v>
      </c>
    </row>
    <row r="202" spans="1:10" x14ac:dyDescent="0.3">
      <c r="A202" s="2" t="s">
        <v>702</v>
      </c>
      <c r="C202" s="2">
        <v>440524</v>
      </c>
      <c r="E202" s="2">
        <f>tblTrialBalance[[#This Row],[Opening Balance (CY)]]+tblTrialBalance[[#This Row],[Debit (CY)]]-tblTrialBalance[[#This Row],[Credit (CY)]]</f>
        <v>440524</v>
      </c>
      <c r="G202" s="2" t="s">
        <v>767</v>
      </c>
      <c r="J202" s="2" t="s">
        <v>496</v>
      </c>
    </row>
    <row r="203" spans="1:10" x14ac:dyDescent="0.3">
      <c r="A203" s="2" t="s">
        <v>703</v>
      </c>
      <c r="C203" s="2">
        <v>3926836.42</v>
      </c>
      <c r="E203" s="2">
        <f>tblTrialBalance[[#This Row],[Opening Balance (CY)]]+tblTrialBalance[[#This Row],[Debit (CY)]]-tblTrialBalance[[#This Row],[Credit (CY)]]</f>
        <v>3926836.42</v>
      </c>
      <c r="G203" s="2" t="s">
        <v>767</v>
      </c>
      <c r="J203" s="2" t="s">
        <v>497</v>
      </c>
    </row>
    <row r="204" spans="1:10" x14ac:dyDescent="0.3">
      <c r="A204" s="2" t="s">
        <v>704</v>
      </c>
      <c r="C204" s="2">
        <v>657590</v>
      </c>
      <c r="E204" s="2">
        <f>tblTrialBalance[[#This Row],[Opening Balance (CY)]]+tblTrialBalance[[#This Row],[Debit (CY)]]-tblTrialBalance[[#This Row],[Credit (CY)]]</f>
        <v>657590</v>
      </c>
      <c r="G204" s="2" t="s">
        <v>767</v>
      </c>
      <c r="J204" s="2" t="s">
        <v>497</v>
      </c>
    </row>
    <row r="205" spans="1:10" x14ac:dyDescent="0.3">
      <c r="A205" s="2" t="s">
        <v>705</v>
      </c>
      <c r="C205" s="2">
        <v>695812</v>
      </c>
      <c r="E205" s="2">
        <f>tblTrialBalance[[#This Row],[Opening Balance (CY)]]+tblTrialBalance[[#This Row],[Debit (CY)]]-tblTrialBalance[[#This Row],[Credit (CY)]]</f>
        <v>695812</v>
      </c>
      <c r="G205" s="2" t="s">
        <v>767</v>
      </c>
      <c r="J205" s="2" t="s">
        <v>497</v>
      </c>
    </row>
    <row r="206" spans="1:10" x14ac:dyDescent="0.3">
      <c r="A206" s="2" t="s">
        <v>498</v>
      </c>
      <c r="C206" s="2">
        <v>263287</v>
      </c>
      <c r="E206" s="2">
        <f>tblTrialBalance[[#This Row],[Opening Balance (CY)]]+tblTrialBalance[[#This Row],[Debit (CY)]]-tblTrialBalance[[#This Row],[Credit (CY)]]</f>
        <v>263287</v>
      </c>
      <c r="G206" s="2" t="s">
        <v>767</v>
      </c>
      <c r="J206" s="2" t="s">
        <v>498</v>
      </c>
    </row>
    <row r="207" spans="1:10" x14ac:dyDescent="0.3">
      <c r="A207" s="2" t="s">
        <v>706</v>
      </c>
      <c r="C207" s="2">
        <v>13632855</v>
      </c>
      <c r="E207" s="2">
        <f>tblTrialBalance[[#This Row],[Opening Balance (CY)]]+tblTrialBalance[[#This Row],[Debit (CY)]]-tblTrialBalance[[#This Row],[Credit (CY)]]</f>
        <v>13632855</v>
      </c>
      <c r="G207" s="2" t="s">
        <v>767</v>
      </c>
      <c r="J207" s="2" t="s">
        <v>499</v>
      </c>
    </row>
    <row r="208" spans="1:10" x14ac:dyDescent="0.3">
      <c r="A208" s="2" t="s">
        <v>707</v>
      </c>
      <c r="C208" s="2">
        <v>343602.78</v>
      </c>
      <c r="E208" s="2">
        <f>tblTrialBalance[[#This Row],[Opening Balance (CY)]]+tblTrialBalance[[#This Row],[Debit (CY)]]-tblTrialBalance[[#This Row],[Credit (CY)]]</f>
        <v>343602.78</v>
      </c>
      <c r="G208" s="2" t="s">
        <v>767</v>
      </c>
      <c r="J208" s="2" t="s">
        <v>500</v>
      </c>
    </row>
    <row r="209" spans="1:10" x14ac:dyDescent="0.3">
      <c r="A209" s="2" t="s">
        <v>708</v>
      </c>
      <c r="C209" s="2">
        <v>21593</v>
      </c>
      <c r="E209" s="2">
        <f>tblTrialBalance[[#This Row],[Opening Balance (CY)]]+tblTrialBalance[[#This Row],[Debit (CY)]]-tblTrialBalance[[#This Row],[Credit (CY)]]</f>
        <v>21593</v>
      </c>
      <c r="G209" s="2" t="s">
        <v>767</v>
      </c>
      <c r="J209" s="2" t="s">
        <v>500</v>
      </c>
    </row>
    <row r="210" spans="1:10" x14ac:dyDescent="0.3">
      <c r="A210" s="2" t="s">
        <v>709</v>
      </c>
      <c r="C210" s="2">
        <v>31200</v>
      </c>
      <c r="E210" s="2">
        <f>tblTrialBalance[[#This Row],[Opening Balance (CY)]]+tblTrialBalance[[#This Row],[Debit (CY)]]-tblTrialBalance[[#This Row],[Credit (CY)]]</f>
        <v>31200</v>
      </c>
      <c r="G210" s="2" t="s">
        <v>767</v>
      </c>
      <c r="J210" s="2" t="s">
        <v>480</v>
      </c>
    </row>
    <row r="211" spans="1:10" x14ac:dyDescent="0.3">
      <c r="A211" s="2" t="s">
        <v>710</v>
      </c>
      <c r="C211" s="2">
        <v>129511.93</v>
      </c>
      <c r="E211" s="2">
        <f>tblTrialBalance[[#This Row],[Opening Balance (CY)]]+tblTrialBalance[[#This Row],[Debit (CY)]]-tblTrialBalance[[#This Row],[Credit (CY)]]</f>
        <v>129511.93</v>
      </c>
      <c r="G211" s="2" t="s">
        <v>767</v>
      </c>
      <c r="J211" s="2" t="s">
        <v>501</v>
      </c>
    </row>
    <row r="212" spans="1:10" x14ac:dyDescent="0.3">
      <c r="A212" s="2" t="s">
        <v>711</v>
      </c>
      <c r="C212" s="2">
        <v>1720.47</v>
      </c>
      <c r="E212" s="2">
        <f>tblTrialBalance[[#This Row],[Opening Balance (CY)]]+tblTrialBalance[[#This Row],[Debit (CY)]]-tblTrialBalance[[#This Row],[Credit (CY)]]</f>
        <v>1720.47</v>
      </c>
      <c r="G212" s="2" t="s">
        <v>767</v>
      </c>
      <c r="J212" s="2" t="s">
        <v>483</v>
      </c>
    </row>
    <row r="213" spans="1:10" x14ac:dyDescent="0.3">
      <c r="A213" s="2" t="s">
        <v>712</v>
      </c>
      <c r="C213" s="2">
        <v>2440.08</v>
      </c>
      <c r="E213" s="2">
        <f>tblTrialBalance[[#This Row],[Opening Balance (CY)]]+tblTrialBalance[[#This Row],[Debit (CY)]]-tblTrialBalance[[#This Row],[Credit (CY)]]</f>
        <v>2440.08</v>
      </c>
      <c r="G213" s="2" t="s">
        <v>767</v>
      </c>
      <c r="J213" s="2" t="s">
        <v>484</v>
      </c>
    </row>
    <row r="214" spans="1:10" x14ac:dyDescent="0.3">
      <c r="A214" s="2" t="s">
        <v>713</v>
      </c>
      <c r="C214" s="2">
        <v>-185</v>
      </c>
      <c r="E214" s="2">
        <f>tblTrialBalance[[#This Row],[Opening Balance (CY)]]+tblTrialBalance[[#This Row],[Debit (CY)]]-tblTrialBalance[[#This Row],[Credit (CY)]]</f>
        <v>-185</v>
      </c>
      <c r="G214" s="2" t="s">
        <v>767</v>
      </c>
      <c r="J214" s="2" t="s">
        <v>484</v>
      </c>
    </row>
    <row r="215" spans="1:10" x14ac:dyDescent="0.3">
      <c r="A215" s="2" t="s">
        <v>714</v>
      </c>
      <c r="C215" s="2">
        <v>12014</v>
      </c>
      <c r="E215" s="2">
        <f>tblTrialBalance[[#This Row],[Opening Balance (CY)]]+tblTrialBalance[[#This Row],[Debit (CY)]]-tblTrialBalance[[#This Row],[Credit (CY)]]</f>
        <v>12014</v>
      </c>
      <c r="G215" s="2" t="s">
        <v>767</v>
      </c>
      <c r="J215" s="2" t="s">
        <v>484</v>
      </c>
    </row>
    <row r="216" spans="1:10" x14ac:dyDescent="0.3">
      <c r="A216" s="2" t="s">
        <v>715</v>
      </c>
      <c r="C216" s="2">
        <v>13530</v>
      </c>
      <c r="E216" s="2">
        <f>tblTrialBalance[[#This Row],[Opening Balance (CY)]]+tblTrialBalance[[#This Row],[Debit (CY)]]-tblTrialBalance[[#This Row],[Credit (CY)]]</f>
        <v>13530</v>
      </c>
      <c r="G216" s="2" t="s">
        <v>767</v>
      </c>
      <c r="J216" s="2" t="s">
        <v>502</v>
      </c>
    </row>
    <row r="217" spans="1:10" x14ac:dyDescent="0.3">
      <c r="A217" s="2" t="s">
        <v>716</v>
      </c>
      <c r="C217" s="2">
        <v>4800500</v>
      </c>
      <c r="E217" s="2">
        <f>tblTrialBalance[[#This Row],[Opening Balance (CY)]]+tblTrialBalance[[#This Row],[Debit (CY)]]-tblTrialBalance[[#This Row],[Credit (CY)]]</f>
        <v>4800500</v>
      </c>
      <c r="G217" s="2" t="s">
        <v>767</v>
      </c>
      <c r="J217" s="2" t="s">
        <v>502</v>
      </c>
    </row>
    <row r="218" spans="1:10" x14ac:dyDescent="0.3">
      <c r="A218" s="2" t="s">
        <v>717</v>
      </c>
      <c r="C218" s="2">
        <v>228123</v>
      </c>
      <c r="E218" s="2">
        <f>tblTrialBalance[[#This Row],[Opening Balance (CY)]]+tblTrialBalance[[#This Row],[Debit (CY)]]-tblTrialBalance[[#This Row],[Credit (CY)]]</f>
        <v>228123</v>
      </c>
      <c r="G218" s="2" t="s">
        <v>767</v>
      </c>
      <c r="J218" s="2" t="s">
        <v>502</v>
      </c>
    </row>
    <row r="219" spans="1:10" x14ac:dyDescent="0.3">
      <c r="A219" s="2" t="s">
        <v>718</v>
      </c>
      <c r="C219" s="2">
        <v>3423738</v>
      </c>
      <c r="E219" s="2">
        <f>tblTrialBalance[[#This Row],[Opening Balance (CY)]]+tblTrialBalance[[#This Row],[Debit (CY)]]-tblTrialBalance[[#This Row],[Credit (CY)]]</f>
        <v>3423738</v>
      </c>
      <c r="G219" s="2" t="s">
        <v>767</v>
      </c>
      <c r="J219" s="2" t="s">
        <v>502</v>
      </c>
    </row>
    <row r="220" spans="1:10" x14ac:dyDescent="0.3">
      <c r="A220" s="2" t="s">
        <v>719</v>
      </c>
      <c r="C220" s="2">
        <v>199291.5</v>
      </c>
      <c r="E220" s="2">
        <f>tblTrialBalance[[#This Row],[Opening Balance (CY)]]+tblTrialBalance[[#This Row],[Debit (CY)]]-tblTrialBalance[[#This Row],[Credit (CY)]]</f>
        <v>199291.5</v>
      </c>
      <c r="G220" s="2" t="s">
        <v>767</v>
      </c>
      <c r="J220" s="2" t="s">
        <v>502</v>
      </c>
    </row>
    <row r="221" spans="1:10" x14ac:dyDescent="0.3">
      <c r="A221" s="2" t="s">
        <v>720</v>
      </c>
      <c r="C221" s="2">
        <v>199291.5</v>
      </c>
      <c r="E221" s="2">
        <f>tblTrialBalance[[#This Row],[Opening Balance (CY)]]+tblTrialBalance[[#This Row],[Debit (CY)]]-tblTrialBalance[[#This Row],[Credit (CY)]]</f>
        <v>199291.5</v>
      </c>
      <c r="G221" s="2" t="s">
        <v>767</v>
      </c>
      <c r="J221" s="2" t="s">
        <v>502</v>
      </c>
    </row>
    <row r="222" spans="1:10" x14ac:dyDescent="0.3">
      <c r="A222" s="2" t="s">
        <v>721</v>
      </c>
      <c r="C222" s="2">
        <v>108791</v>
      </c>
      <c r="E222" s="2">
        <f>tblTrialBalance[[#This Row],[Opening Balance (CY)]]+tblTrialBalance[[#This Row],[Debit (CY)]]-tblTrialBalance[[#This Row],[Credit (CY)]]</f>
        <v>108791</v>
      </c>
      <c r="G222" s="2" t="s">
        <v>767</v>
      </c>
      <c r="J222" s="2" t="s">
        <v>502</v>
      </c>
    </row>
    <row r="223" spans="1:10" x14ac:dyDescent="0.3">
      <c r="A223" s="2" t="s">
        <v>722</v>
      </c>
      <c r="C223" s="2">
        <v>65956.81</v>
      </c>
      <c r="E223" s="2">
        <f>tblTrialBalance[[#This Row],[Opening Balance (CY)]]+tblTrialBalance[[#This Row],[Debit (CY)]]-tblTrialBalance[[#This Row],[Credit (CY)]]</f>
        <v>65956.81</v>
      </c>
      <c r="G223" s="2" t="s">
        <v>767</v>
      </c>
      <c r="J223" s="2" t="s">
        <v>503</v>
      </c>
    </row>
    <row r="224" spans="1:10" x14ac:dyDescent="0.3">
      <c r="A224" s="2" t="s">
        <v>723</v>
      </c>
      <c r="C224" s="2">
        <v>786500</v>
      </c>
      <c r="E224" s="2">
        <f>tblTrialBalance[[#This Row],[Opening Balance (CY)]]+tblTrialBalance[[#This Row],[Debit (CY)]]-tblTrialBalance[[#This Row],[Credit (CY)]]</f>
        <v>786500</v>
      </c>
      <c r="G224" s="2" t="s">
        <v>767</v>
      </c>
      <c r="J224" s="2" t="s">
        <v>503</v>
      </c>
    </row>
    <row r="225" spans="1:10" x14ac:dyDescent="0.3">
      <c r="A225" s="2" t="s">
        <v>724</v>
      </c>
      <c r="C225" s="2">
        <v>120000</v>
      </c>
      <c r="E225" s="2">
        <f>tblTrialBalance[[#This Row],[Opening Balance (CY)]]+tblTrialBalance[[#This Row],[Debit (CY)]]-tblTrialBalance[[#This Row],[Credit (CY)]]</f>
        <v>120000</v>
      </c>
      <c r="G225" s="2" t="s">
        <v>767</v>
      </c>
      <c r="J225" s="2" t="s">
        <v>504</v>
      </c>
    </row>
    <row r="226" spans="1:10" x14ac:dyDescent="0.3">
      <c r="A226" s="2" t="s">
        <v>725</v>
      </c>
      <c r="C226" s="2">
        <v>1782000</v>
      </c>
      <c r="E226" s="2">
        <f>tblTrialBalance[[#This Row],[Opening Balance (CY)]]+tblTrialBalance[[#This Row],[Debit (CY)]]-tblTrialBalance[[#This Row],[Credit (CY)]]</f>
        <v>1782000</v>
      </c>
      <c r="G226" s="2" t="s">
        <v>767</v>
      </c>
      <c r="J226" s="2" t="s">
        <v>503</v>
      </c>
    </row>
    <row r="227" spans="1:10" x14ac:dyDescent="0.3">
      <c r="A227" s="2" t="s">
        <v>726</v>
      </c>
      <c r="C227" s="2">
        <v>4538692.76</v>
      </c>
      <c r="E227" s="2">
        <f>tblTrialBalance[[#This Row],[Opening Balance (CY)]]+tblTrialBalance[[#This Row],[Debit (CY)]]-tblTrialBalance[[#This Row],[Credit (CY)]]</f>
        <v>4538692.76</v>
      </c>
      <c r="G227" s="2" t="s">
        <v>767</v>
      </c>
      <c r="J227" s="2" t="s">
        <v>503</v>
      </c>
    </row>
    <row r="228" spans="1:10" x14ac:dyDescent="0.3">
      <c r="A228" s="2" t="s">
        <v>727</v>
      </c>
      <c r="C228" s="2">
        <v>2507000</v>
      </c>
      <c r="E228" s="2">
        <f>tblTrialBalance[[#This Row],[Opening Balance (CY)]]+tblTrialBalance[[#This Row],[Debit (CY)]]-tblTrialBalance[[#This Row],[Credit (CY)]]</f>
        <v>2507000</v>
      </c>
      <c r="G228" s="2" t="s">
        <v>767</v>
      </c>
      <c r="J228" s="2" t="s">
        <v>503</v>
      </c>
    </row>
    <row r="229" spans="1:10" x14ac:dyDescent="0.3">
      <c r="A229" s="2" t="s">
        <v>728</v>
      </c>
      <c r="C229" s="2">
        <v>1015000</v>
      </c>
      <c r="E229" s="2">
        <f>tblTrialBalance[[#This Row],[Opening Balance (CY)]]+tblTrialBalance[[#This Row],[Debit (CY)]]-tblTrialBalance[[#This Row],[Credit (CY)]]</f>
        <v>1015000</v>
      </c>
      <c r="G229" s="2" t="s">
        <v>767</v>
      </c>
      <c r="J229" s="2" t="s">
        <v>503</v>
      </c>
    </row>
    <row r="230" spans="1:10" x14ac:dyDescent="0.3">
      <c r="A230" s="2" t="s">
        <v>729</v>
      </c>
      <c r="C230" s="2">
        <v>5703361.7999999998</v>
      </c>
      <c r="E230" s="2">
        <f>tblTrialBalance[[#This Row],[Opening Balance (CY)]]+tblTrialBalance[[#This Row],[Debit (CY)]]-tblTrialBalance[[#This Row],[Credit (CY)]]</f>
        <v>5703361.7999999998</v>
      </c>
      <c r="G230" s="2" t="s">
        <v>767</v>
      </c>
      <c r="J230" s="2" t="s">
        <v>489</v>
      </c>
    </row>
    <row r="231" spans="1:10" x14ac:dyDescent="0.3">
      <c r="A231" s="2" t="s">
        <v>730</v>
      </c>
      <c r="C231" s="2">
        <v>1502274</v>
      </c>
      <c r="E231" s="2">
        <f>tblTrialBalance[[#This Row],[Opening Balance (CY)]]+tblTrialBalance[[#This Row],[Debit (CY)]]-tblTrialBalance[[#This Row],[Credit (CY)]]</f>
        <v>1502274</v>
      </c>
      <c r="G231" s="2" t="s">
        <v>767</v>
      </c>
      <c r="J231" s="2" t="s">
        <v>480</v>
      </c>
    </row>
    <row r="232" spans="1:10" x14ac:dyDescent="0.3">
      <c r="A232" s="2" t="s">
        <v>731</v>
      </c>
      <c r="C232" s="2">
        <v>5445.26</v>
      </c>
      <c r="E232" s="2">
        <f>tblTrialBalance[[#This Row],[Opening Balance (CY)]]+tblTrialBalance[[#This Row],[Debit (CY)]]-tblTrialBalance[[#This Row],[Credit (CY)]]</f>
        <v>5445.26</v>
      </c>
      <c r="G232" s="2" t="s">
        <v>767</v>
      </c>
      <c r="J232" s="2" t="s">
        <v>482</v>
      </c>
    </row>
    <row r="233" spans="1:10" x14ac:dyDescent="0.3">
      <c r="A233" s="2" t="s">
        <v>732</v>
      </c>
      <c r="C233" s="2">
        <v>1626465</v>
      </c>
      <c r="E233" s="2">
        <f>tblTrialBalance[[#This Row],[Opening Balance (CY)]]+tblTrialBalance[[#This Row],[Debit (CY)]]-tblTrialBalance[[#This Row],[Credit (CY)]]</f>
        <v>1626465</v>
      </c>
      <c r="G233" s="2" t="s">
        <v>767</v>
      </c>
      <c r="J233" s="2" t="s">
        <v>490</v>
      </c>
    </row>
    <row r="234" spans="1:10" x14ac:dyDescent="0.3">
      <c r="A234" s="2" t="s">
        <v>733</v>
      </c>
      <c r="C234" s="2">
        <v>17170.5</v>
      </c>
      <c r="E234" s="2">
        <f>tblTrialBalance[[#This Row],[Opening Balance (CY)]]+tblTrialBalance[[#This Row],[Debit (CY)]]-tblTrialBalance[[#This Row],[Credit (CY)]]</f>
        <v>17170.5</v>
      </c>
      <c r="G234" s="2" t="s">
        <v>767</v>
      </c>
      <c r="J234" s="2" t="s">
        <v>482</v>
      </c>
    </row>
    <row r="235" spans="1:10" x14ac:dyDescent="0.3">
      <c r="A235" s="2" t="s">
        <v>734</v>
      </c>
      <c r="C235" s="2">
        <v>12892</v>
      </c>
      <c r="E235" s="2">
        <f>tblTrialBalance[[#This Row],[Opening Balance (CY)]]+tblTrialBalance[[#This Row],[Debit (CY)]]-tblTrialBalance[[#This Row],[Credit (CY)]]</f>
        <v>12892</v>
      </c>
      <c r="G235" s="2" t="s">
        <v>767</v>
      </c>
      <c r="J235" s="2" t="s">
        <v>480</v>
      </c>
    </row>
    <row r="236" spans="1:10" x14ac:dyDescent="0.3">
      <c r="A236" s="2" t="s">
        <v>52</v>
      </c>
      <c r="C236" s="2">
        <v>7.6</v>
      </c>
      <c r="E236" s="2">
        <f>tblTrialBalance[[#This Row],[Opening Balance (CY)]]+tblTrialBalance[[#This Row],[Debit (CY)]]-tblTrialBalance[[#This Row],[Credit (CY)]]</f>
        <v>7.6</v>
      </c>
      <c r="G236" s="2" t="s">
        <v>767</v>
      </c>
      <c r="J236" s="2" t="s">
        <v>482</v>
      </c>
    </row>
    <row r="237" spans="1:10" x14ac:dyDescent="0.3">
      <c r="A237" s="2" t="s">
        <v>505</v>
      </c>
      <c r="C237" s="2">
        <v>21720</v>
      </c>
      <c r="E237" s="2">
        <f>tblTrialBalance[[#This Row],[Opening Balance (CY)]]+tblTrialBalance[[#This Row],[Debit (CY)]]-tblTrialBalance[[#This Row],[Credit (CY)]]</f>
        <v>21720</v>
      </c>
      <c r="G237" s="2" t="s">
        <v>767</v>
      </c>
      <c r="J237" s="2" t="s">
        <v>505</v>
      </c>
    </row>
    <row r="238" spans="1:10" x14ac:dyDescent="0.3">
      <c r="A238" s="2" t="s">
        <v>506</v>
      </c>
      <c r="C238" s="2">
        <v>54732.83</v>
      </c>
      <c r="E238" s="2">
        <f>tblTrialBalance[[#This Row],[Opening Balance (CY)]]+tblTrialBalance[[#This Row],[Debit (CY)]]-tblTrialBalance[[#This Row],[Credit (CY)]]</f>
        <v>54732.83</v>
      </c>
      <c r="G238" s="2" t="s">
        <v>767</v>
      </c>
      <c r="J238" s="2" t="s">
        <v>506</v>
      </c>
    </row>
    <row r="239" spans="1:10" x14ac:dyDescent="0.3">
      <c r="A239" s="2" t="s">
        <v>735</v>
      </c>
      <c r="C239" s="2">
        <v>14754</v>
      </c>
      <c r="E239" s="2">
        <f>tblTrialBalance[[#This Row],[Opening Balance (CY)]]+tblTrialBalance[[#This Row],[Debit (CY)]]-tblTrialBalance[[#This Row],[Credit (CY)]]</f>
        <v>14754</v>
      </c>
      <c r="G239" s="2" t="s">
        <v>767</v>
      </c>
      <c r="J239" s="2" t="s">
        <v>500</v>
      </c>
    </row>
    <row r="240" spans="1:10" x14ac:dyDescent="0.3">
      <c r="A240" s="2" t="s">
        <v>736</v>
      </c>
      <c r="C240" s="2">
        <v>-141444.29999999999</v>
      </c>
      <c r="E240" s="2">
        <f>tblTrialBalance[[#This Row],[Opening Balance (CY)]]+tblTrialBalance[[#This Row],[Debit (CY)]]-tblTrialBalance[[#This Row],[Credit (CY)]]</f>
        <v>-141444.29999999999</v>
      </c>
      <c r="G240" s="2" t="s">
        <v>767</v>
      </c>
      <c r="J240" s="2" t="s">
        <v>490</v>
      </c>
    </row>
    <row r="241" spans="1:10" x14ac:dyDescent="0.3">
      <c r="A241" s="2" t="s">
        <v>737</v>
      </c>
      <c r="C241" s="2">
        <v>17389381.989999998</v>
      </c>
      <c r="E241" s="2">
        <f>tblTrialBalance[[#This Row],[Opening Balance (CY)]]+tblTrialBalance[[#This Row],[Debit (CY)]]-tblTrialBalance[[#This Row],[Credit (CY)]]</f>
        <v>17389381.989999998</v>
      </c>
      <c r="G241" s="2" t="s">
        <v>767</v>
      </c>
      <c r="J241" s="2" t="s">
        <v>507</v>
      </c>
    </row>
    <row r="242" spans="1:10" x14ac:dyDescent="0.3">
      <c r="A242" s="2" t="s">
        <v>508</v>
      </c>
      <c r="C242" s="2">
        <v>37500</v>
      </c>
      <c r="E242" s="2">
        <f>tblTrialBalance[[#This Row],[Opening Balance (CY)]]+tblTrialBalance[[#This Row],[Debit (CY)]]-tblTrialBalance[[#This Row],[Credit (CY)]]</f>
        <v>37500</v>
      </c>
      <c r="G242" s="2" t="s">
        <v>767</v>
      </c>
      <c r="J242" s="2" t="s">
        <v>508</v>
      </c>
    </row>
    <row r="243" spans="1:10" x14ac:dyDescent="0.3">
      <c r="A243" s="2" t="s">
        <v>738</v>
      </c>
      <c r="C243" s="2">
        <v>27879</v>
      </c>
      <c r="E243" s="2">
        <f>tblTrialBalance[[#This Row],[Opening Balance (CY)]]+tblTrialBalance[[#This Row],[Debit (CY)]]-tblTrialBalance[[#This Row],[Credit (CY)]]</f>
        <v>27879</v>
      </c>
      <c r="G243" s="2" t="s">
        <v>767</v>
      </c>
      <c r="J243" s="2" t="s">
        <v>488</v>
      </c>
    </row>
    <row r="244" spans="1:10" x14ac:dyDescent="0.3">
      <c r="A244" s="2" t="s">
        <v>739</v>
      </c>
      <c r="C244" s="2">
        <v>23204.29</v>
      </c>
      <c r="E244" s="2">
        <f>tblTrialBalance[[#This Row],[Opening Balance (CY)]]+tblTrialBalance[[#This Row],[Debit (CY)]]-tblTrialBalance[[#This Row],[Credit (CY)]]</f>
        <v>23204.29</v>
      </c>
      <c r="G244" s="2" t="s">
        <v>767</v>
      </c>
      <c r="J244" s="2" t="s">
        <v>488</v>
      </c>
    </row>
    <row r="245" spans="1:10" x14ac:dyDescent="0.3">
      <c r="A245" s="2" t="s">
        <v>740</v>
      </c>
      <c r="C245" s="2">
        <v>65897</v>
      </c>
      <c r="E245" s="2">
        <f>tblTrialBalance[[#This Row],[Opening Balance (CY)]]+tblTrialBalance[[#This Row],[Debit (CY)]]-tblTrialBalance[[#This Row],[Credit (CY)]]</f>
        <v>65897</v>
      </c>
      <c r="G245" s="2" t="s">
        <v>767</v>
      </c>
      <c r="J245" s="2" t="s">
        <v>488</v>
      </c>
    </row>
    <row r="246" spans="1:10" x14ac:dyDescent="0.3">
      <c r="A246" s="2" t="s">
        <v>741</v>
      </c>
      <c r="C246" s="2">
        <v>1722163.89</v>
      </c>
      <c r="E246" s="2">
        <f>tblTrialBalance[[#This Row],[Opening Balance (CY)]]+tblTrialBalance[[#This Row],[Debit (CY)]]-tblTrialBalance[[#This Row],[Credit (CY)]]</f>
        <v>1722163.89</v>
      </c>
      <c r="G246" s="2" t="s">
        <v>767</v>
      </c>
      <c r="J246" s="2" t="s">
        <v>488</v>
      </c>
    </row>
    <row r="247" spans="1:10" x14ac:dyDescent="0.3">
      <c r="A247" s="2" t="s">
        <v>742</v>
      </c>
      <c r="C247" s="2">
        <v>63930</v>
      </c>
      <c r="E247" s="2">
        <f>tblTrialBalance[[#This Row],[Opening Balance (CY)]]+tblTrialBalance[[#This Row],[Debit (CY)]]-tblTrialBalance[[#This Row],[Credit (CY)]]</f>
        <v>63930</v>
      </c>
      <c r="G247" s="2" t="s">
        <v>767</v>
      </c>
      <c r="J247" s="2" t="s">
        <v>488</v>
      </c>
    </row>
    <row r="248" spans="1:10" x14ac:dyDescent="0.3">
      <c r="A248" s="2" t="s">
        <v>743</v>
      </c>
      <c r="C248" s="2">
        <v>13547.53</v>
      </c>
      <c r="E248" s="2">
        <f>tblTrialBalance[[#This Row],[Opening Balance (CY)]]+tblTrialBalance[[#This Row],[Debit (CY)]]-tblTrialBalance[[#This Row],[Credit (CY)]]</f>
        <v>13547.53</v>
      </c>
      <c r="G248" s="2" t="s">
        <v>767</v>
      </c>
      <c r="J248" s="2" t="s">
        <v>488</v>
      </c>
    </row>
    <row r="249" spans="1:10" x14ac:dyDescent="0.3">
      <c r="A249" s="2" t="s">
        <v>744</v>
      </c>
      <c r="C249" s="2">
        <v>1</v>
      </c>
      <c r="E249" s="2">
        <f>tblTrialBalance[[#This Row],[Opening Balance (CY)]]+tblTrialBalance[[#This Row],[Debit (CY)]]-tblTrialBalance[[#This Row],[Credit (CY)]]</f>
        <v>1</v>
      </c>
      <c r="G249" s="2" t="s">
        <v>767</v>
      </c>
      <c r="J249" s="2" t="s">
        <v>482</v>
      </c>
    </row>
    <row r="250" spans="1:10" x14ac:dyDescent="0.3">
      <c r="A250" s="2" t="s">
        <v>509</v>
      </c>
      <c r="C250" s="2">
        <v>72363131</v>
      </c>
      <c r="E250" s="2">
        <f>tblTrialBalance[[#This Row],[Opening Balance (CY)]]+tblTrialBalance[[#This Row],[Debit (CY)]]-tblTrialBalance[[#This Row],[Credit (CY)]]</f>
        <v>72363131</v>
      </c>
      <c r="G250" s="2" t="s">
        <v>767</v>
      </c>
      <c r="J250" s="2" t="s">
        <v>509</v>
      </c>
    </row>
    <row r="251" spans="1:10" x14ac:dyDescent="0.3">
      <c r="A251" s="2" t="s">
        <v>745</v>
      </c>
      <c r="C251" s="2">
        <v>2366056</v>
      </c>
      <c r="E251" s="2">
        <f>tblTrialBalance[[#This Row],[Opening Balance (CY)]]+tblTrialBalance[[#This Row],[Debit (CY)]]-tblTrialBalance[[#This Row],[Credit (CY)]]</f>
        <v>2366056</v>
      </c>
      <c r="G251" s="2" t="s">
        <v>767</v>
      </c>
      <c r="J251" s="2" t="s">
        <v>509</v>
      </c>
    </row>
    <row r="252" spans="1:10" x14ac:dyDescent="0.3">
      <c r="A252" s="2" t="s">
        <v>746</v>
      </c>
      <c r="C252" s="2">
        <v>2366056</v>
      </c>
      <c r="E252" s="2">
        <f>tblTrialBalance[[#This Row],[Opening Balance (CY)]]+tblTrialBalance[[#This Row],[Debit (CY)]]-tblTrialBalance[[#This Row],[Credit (CY)]]</f>
        <v>2366056</v>
      </c>
      <c r="G252" s="2" t="s">
        <v>767</v>
      </c>
      <c r="J252" s="2" t="s">
        <v>509</v>
      </c>
    </row>
    <row r="253" spans="1:10" x14ac:dyDescent="0.3">
      <c r="A253" s="2" t="s">
        <v>747</v>
      </c>
      <c r="C253" s="2">
        <v>25622</v>
      </c>
      <c r="E253" s="2">
        <f>tblTrialBalance[[#This Row],[Opening Balance (CY)]]+tblTrialBalance[[#This Row],[Debit (CY)]]-tblTrialBalance[[#This Row],[Credit (CY)]]</f>
        <v>25622</v>
      </c>
      <c r="G253" s="2" t="s">
        <v>767</v>
      </c>
      <c r="J253" s="2" t="s">
        <v>509</v>
      </c>
    </row>
    <row r="254" spans="1:10" x14ac:dyDescent="0.3">
      <c r="A254" s="2" t="s">
        <v>748</v>
      </c>
      <c r="C254" s="2">
        <v>553844.75</v>
      </c>
      <c r="E254" s="2">
        <f>tblTrialBalance[[#This Row],[Opening Balance (CY)]]+tblTrialBalance[[#This Row],[Debit (CY)]]-tblTrialBalance[[#This Row],[Credit (CY)]]</f>
        <v>553844.75</v>
      </c>
      <c r="G254" s="2" t="s">
        <v>767</v>
      </c>
      <c r="J254" s="2" t="s">
        <v>482</v>
      </c>
    </row>
    <row r="255" spans="1:10" x14ac:dyDescent="0.3">
      <c r="A255" s="2" t="s">
        <v>749</v>
      </c>
      <c r="C255" s="2">
        <v>160601</v>
      </c>
      <c r="E255" s="2">
        <f>tblTrialBalance[[#This Row],[Opening Balance (CY)]]+tblTrialBalance[[#This Row],[Debit (CY)]]-tblTrialBalance[[#This Row],[Credit (CY)]]</f>
        <v>160601</v>
      </c>
      <c r="G255" s="2" t="s">
        <v>767</v>
      </c>
      <c r="J255" s="2" t="s">
        <v>482</v>
      </c>
    </row>
    <row r="256" spans="1:10" x14ac:dyDescent="0.3">
      <c r="A256" s="2" t="s">
        <v>750</v>
      </c>
      <c r="C256" s="2">
        <v>307689.36</v>
      </c>
      <c r="E256" s="2">
        <f>tblTrialBalance[[#This Row],[Opening Balance (CY)]]+tblTrialBalance[[#This Row],[Debit (CY)]]-tblTrialBalance[[#This Row],[Credit (CY)]]</f>
        <v>307689.36</v>
      </c>
      <c r="G256" s="2" t="s">
        <v>767</v>
      </c>
      <c r="J256" s="2" t="s">
        <v>490</v>
      </c>
    </row>
    <row r="257" spans="1:10" x14ac:dyDescent="0.3">
      <c r="A257" s="2" t="s">
        <v>751</v>
      </c>
      <c r="C257" s="2">
        <v>418334.56</v>
      </c>
      <c r="E257" s="2">
        <f>tblTrialBalance[[#This Row],[Opening Balance (CY)]]+tblTrialBalance[[#This Row],[Debit (CY)]]-tblTrialBalance[[#This Row],[Credit (CY)]]</f>
        <v>418334.56</v>
      </c>
      <c r="G257" s="2" t="s">
        <v>767</v>
      </c>
      <c r="J257" s="2" t="s">
        <v>510</v>
      </c>
    </row>
    <row r="258" spans="1:10" x14ac:dyDescent="0.3">
      <c r="A258" s="2" t="s">
        <v>752</v>
      </c>
      <c r="C258" s="2">
        <v>1363118.49</v>
      </c>
      <c r="E258" s="2">
        <f>tblTrialBalance[[#This Row],[Opening Balance (CY)]]+tblTrialBalance[[#This Row],[Debit (CY)]]-tblTrialBalance[[#This Row],[Credit (CY)]]</f>
        <v>1363118.49</v>
      </c>
      <c r="G258" s="2" t="s">
        <v>767</v>
      </c>
      <c r="J258" s="2" t="s">
        <v>511</v>
      </c>
    </row>
    <row r="259" spans="1:10" x14ac:dyDescent="0.3">
      <c r="A259" s="2" t="s">
        <v>753</v>
      </c>
      <c r="C259" s="2">
        <v>44457</v>
      </c>
      <c r="E259" s="2">
        <f>tblTrialBalance[[#This Row],[Opening Balance (CY)]]+tblTrialBalance[[#This Row],[Debit (CY)]]-tblTrialBalance[[#This Row],[Credit (CY)]]</f>
        <v>44457</v>
      </c>
      <c r="G259" s="2" t="s">
        <v>767</v>
      </c>
      <c r="J259" s="2" t="s">
        <v>482</v>
      </c>
    </row>
    <row r="260" spans="1:10" x14ac:dyDescent="0.3">
      <c r="A260" s="2" t="s">
        <v>754</v>
      </c>
      <c r="C260" s="2">
        <v>195474.2</v>
      </c>
      <c r="E260" s="2">
        <f>tblTrialBalance[[#This Row],[Opening Balance (CY)]]+tblTrialBalance[[#This Row],[Debit (CY)]]-tblTrialBalance[[#This Row],[Credit (CY)]]</f>
        <v>195474.2</v>
      </c>
      <c r="G260" s="2" t="s">
        <v>767</v>
      </c>
      <c r="J260" s="2" t="s">
        <v>482</v>
      </c>
    </row>
    <row r="261" spans="1:10" x14ac:dyDescent="0.3">
      <c r="A261" s="2" t="s">
        <v>755</v>
      </c>
      <c r="C261" s="2">
        <v>41858.39</v>
      </c>
      <c r="E261" s="2">
        <f>tblTrialBalance[[#This Row],[Opening Balance (CY)]]+tblTrialBalance[[#This Row],[Debit (CY)]]-tblTrialBalance[[#This Row],[Credit (CY)]]</f>
        <v>41858.39</v>
      </c>
      <c r="G261" s="2" t="s">
        <v>767</v>
      </c>
      <c r="J261" s="2" t="s">
        <v>501</v>
      </c>
    </row>
    <row r="262" spans="1:10" x14ac:dyDescent="0.3">
      <c r="A262" s="2" t="s">
        <v>512</v>
      </c>
      <c r="C262" s="2">
        <v>785067</v>
      </c>
      <c r="E262" s="2">
        <f>tblTrialBalance[[#This Row],[Opening Balance (CY)]]+tblTrialBalance[[#This Row],[Debit (CY)]]-tblTrialBalance[[#This Row],[Credit (CY)]]</f>
        <v>785067</v>
      </c>
      <c r="G262" s="2" t="s">
        <v>767</v>
      </c>
      <c r="J262" s="2" t="s">
        <v>512</v>
      </c>
    </row>
    <row r="263" spans="1:10" x14ac:dyDescent="0.3">
      <c r="A263" s="2" t="s">
        <v>756</v>
      </c>
      <c r="C263" s="2">
        <v>48800</v>
      </c>
      <c r="E263" s="2">
        <f>tblTrialBalance[[#This Row],[Opening Balance (CY)]]+tblTrialBalance[[#This Row],[Debit (CY)]]-tblTrialBalance[[#This Row],[Credit (CY)]]</f>
        <v>48800</v>
      </c>
      <c r="G263" s="2" t="s">
        <v>767</v>
      </c>
      <c r="J263" s="2" t="s">
        <v>497</v>
      </c>
    </row>
    <row r="264" spans="1:10" x14ac:dyDescent="0.3">
      <c r="A264" s="2" t="s">
        <v>757</v>
      </c>
      <c r="C264" s="2">
        <v>2097710.0299999998</v>
      </c>
      <c r="E264" s="2">
        <f>tblTrialBalance[[#This Row],[Opening Balance (CY)]]+tblTrialBalance[[#This Row],[Debit (CY)]]-tblTrialBalance[[#This Row],[Credit (CY)]]</f>
        <v>2097710.0299999998</v>
      </c>
      <c r="G264" s="2" t="s">
        <v>767</v>
      </c>
      <c r="J264" s="2" t="s">
        <v>513</v>
      </c>
    </row>
    <row r="265" spans="1:10" x14ac:dyDescent="0.3">
      <c r="A265" s="2" t="s">
        <v>758</v>
      </c>
      <c r="C265" s="2">
        <v>20918</v>
      </c>
      <c r="E265" s="2">
        <f>tblTrialBalance[[#This Row],[Opening Balance (CY)]]+tblTrialBalance[[#This Row],[Debit (CY)]]-tblTrialBalance[[#This Row],[Credit (CY)]]</f>
        <v>20918</v>
      </c>
      <c r="G265" s="2" t="s">
        <v>767</v>
      </c>
      <c r="J265" s="2" t="s">
        <v>513</v>
      </c>
    </row>
    <row r="266" spans="1:10" x14ac:dyDescent="0.3">
      <c r="A266" s="2" t="s">
        <v>759</v>
      </c>
      <c r="C266" s="2">
        <v>10500</v>
      </c>
      <c r="E266" s="2">
        <f>tblTrialBalance[[#This Row],[Opening Balance (CY)]]+tblTrialBalance[[#This Row],[Debit (CY)]]-tblTrialBalance[[#This Row],[Credit (CY)]]</f>
        <v>10500</v>
      </c>
      <c r="G266" s="2" t="s">
        <v>767</v>
      </c>
      <c r="J266" s="2" t="s">
        <v>513</v>
      </c>
    </row>
    <row r="267" spans="1:10" x14ac:dyDescent="0.3">
      <c r="A267" s="2" t="s">
        <v>760</v>
      </c>
      <c r="C267" s="2">
        <v>820844</v>
      </c>
      <c r="E267" s="2">
        <f>tblTrialBalance[[#This Row],[Opening Balance (CY)]]+tblTrialBalance[[#This Row],[Debit (CY)]]-tblTrialBalance[[#This Row],[Credit (CY)]]</f>
        <v>820844</v>
      </c>
      <c r="G267" s="2" t="s">
        <v>767</v>
      </c>
      <c r="J267" s="2" t="s">
        <v>513</v>
      </c>
    </row>
    <row r="268" spans="1:10" x14ac:dyDescent="0.3">
      <c r="A268" s="2" t="s">
        <v>761</v>
      </c>
      <c r="C268" s="2">
        <v>8224.9500000000007</v>
      </c>
      <c r="E268" s="2">
        <f>tblTrialBalance[[#This Row],[Opening Balance (CY)]]+tblTrialBalance[[#This Row],[Debit (CY)]]-tblTrialBalance[[#This Row],[Credit (CY)]]</f>
        <v>8224.9500000000007</v>
      </c>
      <c r="G268" s="2" t="s">
        <v>767</v>
      </c>
      <c r="J268" s="2" t="s">
        <v>480</v>
      </c>
    </row>
    <row r="269" spans="1:10" x14ac:dyDescent="0.3">
      <c r="A269" s="2" t="s">
        <v>514</v>
      </c>
      <c r="C269" s="2">
        <v>73995</v>
      </c>
      <c r="E269" s="2">
        <f>tblTrialBalance[[#This Row],[Opening Balance (CY)]]+tblTrialBalance[[#This Row],[Debit (CY)]]-tblTrialBalance[[#This Row],[Credit (CY)]]</f>
        <v>73995</v>
      </c>
      <c r="G269" s="2" t="s">
        <v>767</v>
      </c>
      <c r="J269" s="2" t="s">
        <v>514</v>
      </c>
    </row>
    <row r="270" spans="1:10" x14ac:dyDescent="0.3">
      <c r="A270" s="2" t="s">
        <v>762</v>
      </c>
      <c r="C270" s="2">
        <v>458500</v>
      </c>
      <c r="E270" s="2">
        <f>tblTrialBalance[[#This Row],[Opening Balance (CY)]]+tblTrialBalance[[#This Row],[Debit (CY)]]-tblTrialBalance[[#This Row],[Credit (CY)]]</f>
        <v>458500</v>
      </c>
      <c r="G270" s="2" t="s">
        <v>767</v>
      </c>
      <c r="J270" s="2" t="s">
        <v>501</v>
      </c>
    </row>
    <row r="271" spans="1:10" x14ac:dyDescent="0.3">
      <c r="A271" s="2" t="s">
        <v>763</v>
      </c>
      <c r="C271" s="2">
        <v>16550775</v>
      </c>
      <c r="E271" s="2">
        <f>tblTrialBalance[[#This Row],[Opening Balance (CY)]]+tblTrialBalance[[#This Row],[Debit (CY)]]-tblTrialBalance[[#This Row],[Credit (CY)]]</f>
        <v>16550775</v>
      </c>
      <c r="G271" s="2" t="s">
        <v>767</v>
      </c>
      <c r="J271" s="2" t="s">
        <v>515</v>
      </c>
    </row>
    <row r="272" spans="1:10" x14ac:dyDescent="0.3">
      <c r="A272" s="2" t="s">
        <v>764</v>
      </c>
      <c r="C272" s="2">
        <v>-41418510</v>
      </c>
      <c r="E272" s="2">
        <f>tblTrialBalance[[#This Row],[Opening Balance (CY)]]+tblTrialBalance[[#This Row],[Debit (CY)]]-tblTrialBalance[[#This Row],[Credit (CY)]]</f>
        <v>-41418510</v>
      </c>
      <c r="G272" s="2" t="s">
        <v>767</v>
      </c>
      <c r="J272" s="2" t="s">
        <v>516</v>
      </c>
    </row>
  </sheetData>
  <conditionalFormatting sqref="H1:H1048576">
    <cfRule type="expression" dxfId="43" priority="1" stopIfTrue="1">
      <formula>AND(H1&lt;&gt;"", ROW(H1)&gt;1, COUNTIF(MajorHeads,H1)=0)</formula>
    </cfRule>
  </conditionalFormatting>
  <conditionalFormatting sqref="I1:I1048576">
    <cfRule type="expression" dxfId="42" priority="2" stopIfTrue="1">
      <formula>AND(I1&lt;&gt;"", ROW(I1)&gt;1, COUNTIF(MinorHeads,I1)=0)</formula>
    </cfRule>
  </conditionalFormatting>
  <conditionalFormatting sqref="J1:J1048576">
    <cfRule type="expression" dxfId="41" priority="3" stopIfTrue="1">
      <formula>AND(J1&lt;&gt;"", ROW(J1)&gt;1, COUNTIF(Groupings,J1)=0)</formula>
    </cfRule>
  </conditionalFormatting>
  <dataValidations count="4">
    <dataValidation type="list" allowBlank="1" showInputMessage="1" showErrorMessage="1" sqref="G2:G272" xr:uid="{F4D310D6-E3D3-4DC7-9095-8E75B3A3042B}">
      <formula1>"BS,PL"</formula1>
    </dataValidation>
    <dataValidation type="list" allowBlank="1" showInputMessage="1" showErrorMessage="1" sqref="H2:H272" xr:uid="{66D1BCF0-2557-4DCB-9F90-F3064116D0CB}">
      <formula1>MajorHeads</formula1>
    </dataValidation>
    <dataValidation type="list" allowBlank="1" showInputMessage="1" showErrorMessage="1" sqref="I2:I272" xr:uid="{900FDEA5-C7EA-40E6-A276-4579E814BA2B}">
      <formula1>MinorHeads</formula1>
    </dataValidation>
    <dataValidation type="list" allowBlank="1" showInputMessage="1" showErrorMessage="1" sqref="J2:J272" xr:uid="{D467A4F6-2D35-401C-8620-2DEA80CA8851}">
      <formula1>Groupings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0401" r:id="rId3" name="btnValidateData">
              <controlPr defaultSize="0" print="0" autoFill="0" autoPict="0" macro="[0]!Validate_Trial_Balance_Data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50800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D4DF-56D1-4A77-8AD2-7D6CF232C620}">
  <sheetPr codeName="Sheet163"/>
  <dimension ref="A1:E16"/>
  <sheetViews>
    <sheetView workbookViewId="0"/>
  </sheetViews>
  <sheetFormatPr defaultRowHeight="14" x14ac:dyDescent="0.3"/>
  <cols>
    <col min="1" max="1" width="39.36328125" style="2" bestFit="1" customWidth="1"/>
    <col min="2" max="3" width="19.81640625" style="2" bestFit="1" customWidth="1"/>
    <col min="4" max="4" width="15.81640625" style="2" bestFit="1" customWidth="1"/>
    <col min="5" max="5" width="11.453125" style="2" bestFit="1" customWidth="1"/>
    <col min="6" max="16384" width="8.7265625" style="2"/>
  </cols>
  <sheetData>
    <row r="1" spans="1:5" x14ac:dyDescent="0.3">
      <c r="A1" s="1" t="s">
        <v>119</v>
      </c>
    </row>
    <row r="2" spans="1:5" x14ac:dyDescent="0.3">
      <c r="A2" s="1" t="s">
        <v>120</v>
      </c>
      <c r="B2" s="1" t="s">
        <v>121</v>
      </c>
      <c r="C2" s="1" t="s">
        <v>122</v>
      </c>
      <c r="D2" s="1" t="s">
        <v>123</v>
      </c>
      <c r="E2" s="1" t="s">
        <v>124</v>
      </c>
    </row>
    <row r="3" spans="1:5" x14ac:dyDescent="0.3">
      <c r="A3" s="2" t="s">
        <v>125</v>
      </c>
      <c r="B3" s="2">
        <v>1000000</v>
      </c>
      <c r="C3" s="2">
        <v>10</v>
      </c>
      <c r="D3" s="2">
        <f>B3*C3</f>
        <v>10000000</v>
      </c>
      <c r="E3" s="2">
        <f>B3*C3</f>
        <v>10000000</v>
      </c>
    </row>
    <row r="6" spans="1:5" x14ac:dyDescent="0.3">
      <c r="A6" s="1" t="s">
        <v>126</v>
      </c>
    </row>
    <row r="7" spans="1:5" x14ac:dyDescent="0.3">
      <c r="A7" s="1" t="s">
        <v>127</v>
      </c>
      <c r="B7" s="1" t="s">
        <v>128</v>
      </c>
      <c r="C7" s="1" t="s">
        <v>129</v>
      </c>
    </row>
    <row r="8" spans="1:5" x14ac:dyDescent="0.3">
      <c r="A8" s="2" t="s">
        <v>130</v>
      </c>
      <c r="B8" s="2">
        <v>0</v>
      </c>
      <c r="C8" s="2">
        <v>0</v>
      </c>
      <c r="D8" s="2">
        <f>B8*C3</f>
        <v>0</v>
      </c>
      <c r="E8" s="2">
        <f>C8*C3</f>
        <v>0</v>
      </c>
    </row>
    <row r="9" spans="1:5" x14ac:dyDescent="0.3">
      <c r="A9" s="2" t="s">
        <v>131</v>
      </c>
      <c r="B9" s="2">
        <v>0</v>
      </c>
      <c r="C9" s="2">
        <v>0</v>
      </c>
      <c r="D9" s="2">
        <f>B9*C3</f>
        <v>0</v>
      </c>
      <c r="E9" s="2">
        <f>C9*C3</f>
        <v>0</v>
      </c>
    </row>
    <row r="10" spans="1:5" x14ac:dyDescent="0.3">
      <c r="A10" s="2" t="s">
        <v>132</v>
      </c>
      <c r="B10" s="2">
        <f>B8+B9</f>
        <v>0</v>
      </c>
      <c r="C10" s="2">
        <f>C8+C9</f>
        <v>0</v>
      </c>
      <c r="D10" s="2">
        <f>D8+D9</f>
        <v>0</v>
      </c>
      <c r="E10" s="2">
        <f>E8+E9</f>
        <v>0</v>
      </c>
    </row>
    <row r="13" spans="1:5" x14ac:dyDescent="0.3">
      <c r="A13" s="1" t="s">
        <v>133</v>
      </c>
    </row>
    <row r="14" spans="1:5" x14ac:dyDescent="0.3">
      <c r="A14" s="1" t="s">
        <v>134</v>
      </c>
      <c r="B14" s="1" t="s">
        <v>135</v>
      </c>
      <c r="C14" s="1" t="s">
        <v>136</v>
      </c>
      <c r="D14" s="1" t="s">
        <v>137</v>
      </c>
    </row>
    <row r="15" spans="1:5" x14ac:dyDescent="0.3">
      <c r="C15" s="4">
        <f>IFERROR(B15/$B$10,0)</f>
        <v>0</v>
      </c>
    </row>
    <row r="16" spans="1:5" x14ac:dyDescent="0.3">
      <c r="C16" s="4">
        <f>IFERROR(B16/$B$10,0)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70BC-2B89-43B3-97D0-DB045A6449AE}">
  <sheetPr codeName="Sheet164"/>
  <dimension ref="A1:G3"/>
  <sheetViews>
    <sheetView workbookViewId="0"/>
  </sheetViews>
  <sheetFormatPr defaultRowHeight="14" x14ac:dyDescent="0.3"/>
  <cols>
    <col min="1" max="1" width="10" style="2" bestFit="1" customWidth="1"/>
    <col min="2" max="2" width="18.08984375" style="2" bestFit="1" customWidth="1"/>
    <col min="3" max="3" width="8.81640625" style="2" bestFit="1" customWidth="1"/>
    <col min="4" max="4" width="15.1796875" style="2" bestFit="1" customWidth="1"/>
    <col min="5" max="5" width="23.08984375" style="2" bestFit="1" customWidth="1"/>
    <col min="6" max="6" width="18.81640625" style="2" bestFit="1" customWidth="1"/>
    <col min="7" max="7" width="20.36328125" style="2" bestFit="1" customWidth="1"/>
    <col min="8" max="16384" width="8.7265625" style="2"/>
  </cols>
  <sheetData>
    <row r="1" spans="1:7" x14ac:dyDescent="0.3">
      <c r="A1" s="1" t="s">
        <v>138</v>
      </c>
      <c r="B1" s="1" t="s">
        <v>139</v>
      </c>
      <c r="C1" s="1" t="s">
        <v>140</v>
      </c>
      <c r="D1" s="1" t="s">
        <v>141</v>
      </c>
      <c r="E1" s="1" t="s">
        <v>142</v>
      </c>
      <c r="F1" s="1" t="s">
        <v>143</v>
      </c>
      <c r="G1" s="1" t="s">
        <v>144</v>
      </c>
    </row>
    <row r="2" spans="1:7" x14ac:dyDescent="0.3">
      <c r="A2" s="2" t="s">
        <v>69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</row>
    <row r="3" spans="1:7" x14ac:dyDescent="0.3">
      <c r="A3" s="2" t="s">
        <v>70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58A3D-D5D6-4A33-B405-84020E325839}">
  <sheetPr codeName="Sheet165"/>
  <dimension ref="A1:C14"/>
  <sheetViews>
    <sheetView workbookViewId="0"/>
  </sheetViews>
  <sheetFormatPr defaultRowHeight="14" x14ac:dyDescent="0.3"/>
  <cols>
    <col min="1" max="1" width="36.26953125" style="2" bestFit="1" customWidth="1"/>
    <col min="2" max="3" width="11.453125" style="2" bestFit="1" customWidth="1"/>
    <col min="4" max="16384" width="8.7265625" style="2"/>
  </cols>
  <sheetData>
    <row r="1" spans="1:3" x14ac:dyDescent="0.3">
      <c r="A1" s="1" t="s">
        <v>145</v>
      </c>
      <c r="B1" s="1"/>
      <c r="C1" s="1"/>
    </row>
    <row r="2" spans="1:3" x14ac:dyDescent="0.3">
      <c r="A2" s="1" t="s">
        <v>127</v>
      </c>
      <c r="B2" s="1" t="s">
        <v>123</v>
      </c>
      <c r="C2" s="1" t="s">
        <v>124</v>
      </c>
    </row>
    <row r="3" spans="1:3" x14ac:dyDescent="0.3">
      <c r="A3" s="2" t="s">
        <v>130</v>
      </c>
      <c r="B3" s="6">
        <v>0</v>
      </c>
      <c r="C3" s="6">
        <v>0</v>
      </c>
    </row>
    <row r="4" spans="1:3" x14ac:dyDescent="0.3">
      <c r="A4" s="2" t="s">
        <v>146</v>
      </c>
      <c r="B4" s="6">
        <v>0</v>
      </c>
      <c r="C4" s="6">
        <v>0</v>
      </c>
    </row>
    <row r="5" spans="1:3" x14ac:dyDescent="0.3">
      <c r="A5" s="2" t="s">
        <v>147</v>
      </c>
      <c r="B5" s="6">
        <v>0</v>
      </c>
      <c r="C5" s="6">
        <v>0</v>
      </c>
    </row>
    <row r="6" spans="1:3" x14ac:dyDescent="0.3">
      <c r="A6" s="1" t="s">
        <v>132</v>
      </c>
      <c r="B6" s="7">
        <f>B3+B4-B5</f>
        <v>0</v>
      </c>
      <c r="C6" s="7">
        <f>C3+C4-C5</f>
        <v>0</v>
      </c>
    </row>
    <row r="7" spans="1:3" x14ac:dyDescent="0.3">
      <c r="B7" s="6"/>
      <c r="C7" s="6"/>
    </row>
    <row r="8" spans="1:3" x14ac:dyDescent="0.3">
      <c r="A8" s="1" t="s">
        <v>148</v>
      </c>
      <c r="B8" s="6"/>
      <c r="C8" s="6"/>
    </row>
    <row r="9" spans="1:3" x14ac:dyDescent="0.3">
      <c r="A9" s="1" t="s">
        <v>149</v>
      </c>
      <c r="B9" s="7" t="s">
        <v>150</v>
      </c>
      <c r="C9" s="6"/>
    </row>
    <row r="10" spans="1:3" x14ac:dyDescent="0.3">
      <c r="A10" s="2" t="s">
        <v>151</v>
      </c>
      <c r="B10" s="6"/>
      <c r="C10" s="6"/>
    </row>
    <row r="11" spans="1:3" x14ac:dyDescent="0.3">
      <c r="A11" s="2" t="s">
        <v>152</v>
      </c>
      <c r="B11" s="6"/>
      <c r="C11" s="6"/>
    </row>
    <row r="12" spans="1:3" x14ac:dyDescent="0.3">
      <c r="A12" s="2" t="s">
        <v>153</v>
      </c>
      <c r="B12" s="6"/>
      <c r="C12" s="6"/>
    </row>
    <row r="13" spans="1:3" x14ac:dyDescent="0.3">
      <c r="A13" s="2" t="s">
        <v>154</v>
      </c>
      <c r="B13" s="6"/>
      <c r="C13" s="6"/>
    </row>
    <row r="14" spans="1:3" x14ac:dyDescent="0.3">
      <c r="A14" s="1" t="s">
        <v>155</v>
      </c>
      <c r="B14" s="7">
        <f>SUM(B10:B13)</f>
        <v>0</v>
      </c>
      <c r="C1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B99D-A56C-4A8B-8ADA-447B7494D42A}">
  <sheetPr codeName="Sheet166"/>
  <dimension ref="A1:G13"/>
  <sheetViews>
    <sheetView workbookViewId="0"/>
  </sheetViews>
  <sheetFormatPr defaultRowHeight="14" x14ac:dyDescent="0.3"/>
  <cols>
    <col min="1" max="1" width="38.90625" style="2" bestFit="1" customWidth="1"/>
    <col min="2" max="2" width="18.08984375" style="2" bestFit="1" customWidth="1"/>
    <col min="3" max="3" width="8.81640625" style="2" bestFit="1" customWidth="1"/>
    <col min="4" max="4" width="24.90625" style="2" bestFit="1" customWidth="1"/>
    <col min="5" max="5" width="23.36328125" style="2" bestFit="1" customWidth="1"/>
    <col min="6" max="6" width="19.08984375" style="2" bestFit="1" customWidth="1"/>
    <col min="7" max="7" width="21.7265625" style="2" bestFit="1" customWidth="1"/>
    <col min="8" max="16384" width="8.7265625" style="2"/>
  </cols>
  <sheetData>
    <row r="1" spans="1:7" x14ac:dyDescent="0.3">
      <c r="A1" s="1" t="s">
        <v>156</v>
      </c>
    </row>
    <row r="2" spans="1:7" x14ac:dyDescent="0.3">
      <c r="A2" s="1" t="s">
        <v>138</v>
      </c>
      <c r="B2" s="1" t="s">
        <v>139</v>
      </c>
      <c r="C2" s="1" t="s">
        <v>140</v>
      </c>
      <c r="D2" s="1" t="s">
        <v>141</v>
      </c>
      <c r="E2" s="1" t="s">
        <v>157</v>
      </c>
      <c r="F2" s="1" t="s">
        <v>158</v>
      </c>
      <c r="G2" s="1" t="s">
        <v>159</v>
      </c>
    </row>
    <row r="3" spans="1:7" x14ac:dyDescent="0.3">
      <c r="A3" s="2" t="s">
        <v>71</v>
      </c>
      <c r="B3" s="6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</row>
    <row r="4" spans="1:7" x14ac:dyDescent="0.3">
      <c r="A4" s="2" t="s">
        <v>72</v>
      </c>
      <c r="B4" s="6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</row>
    <row r="7" spans="1:7" x14ac:dyDescent="0.3">
      <c r="A7" s="1" t="s">
        <v>160</v>
      </c>
      <c r="D7" s="1" t="s">
        <v>161</v>
      </c>
    </row>
    <row r="8" spans="1:7" x14ac:dyDescent="0.3">
      <c r="A8" s="1" t="s">
        <v>162</v>
      </c>
      <c r="B8" s="1" t="s">
        <v>150</v>
      </c>
      <c r="D8" s="1" t="s">
        <v>149</v>
      </c>
      <c r="E8" s="1" t="s">
        <v>150</v>
      </c>
    </row>
    <row r="9" spans="1:7" x14ac:dyDescent="0.3">
      <c r="A9" s="2" t="s">
        <v>130</v>
      </c>
      <c r="B9" s="6">
        <v>0</v>
      </c>
      <c r="D9" s="2" t="s">
        <v>151</v>
      </c>
      <c r="E9" s="6"/>
    </row>
    <row r="10" spans="1:7" x14ac:dyDescent="0.3">
      <c r="A10" s="2" t="s">
        <v>140</v>
      </c>
      <c r="B10" s="6">
        <v>0</v>
      </c>
      <c r="D10" s="2" t="s">
        <v>152</v>
      </c>
      <c r="E10" s="6"/>
    </row>
    <row r="11" spans="1:7" x14ac:dyDescent="0.3">
      <c r="A11" s="2" t="s">
        <v>163</v>
      </c>
      <c r="B11" s="6">
        <v>0</v>
      </c>
      <c r="D11" s="2" t="s">
        <v>153</v>
      </c>
      <c r="E11" s="6"/>
    </row>
    <row r="12" spans="1:7" x14ac:dyDescent="0.3">
      <c r="A12" s="1" t="s">
        <v>132</v>
      </c>
      <c r="B12" s="7">
        <f>B9+B10-B11</f>
        <v>0</v>
      </c>
      <c r="D12" s="2" t="s">
        <v>154</v>
      </c>
      <c r="E12" s="6"/>
    </row>
    <row r="13" spans="1:7" x14ac:dyDescent="0.3">
      <c r="D13" s="1" t="s">
        <v>155</v>
      </c>
      <c r="E13" s="7">
        <f>SUM(E9:E12)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DB8F1-D5A8-40A5-8714-880D169260D9}">
  <sheetPr codeName="Sheet167"/>
  <dimension ref="A1:D1"/>
  <sheetViews>
    <sheetView workbookViewId="0"/>
  </sheetViews>
  <sheetFormatPr defaultRowHeight="14" x14ac:dyDescent="0.3"/>
  <cols>
    <col min="1" max="4" width="10.26953125" style="2" customWidth="1"/>
    <col min="5" max="16384" width="8.7265625" style="2"/>
  </cols>
  <sheetData>
    <row r="1" spans="1:4" x14ac:dyDescent="0.3">
      <c r="A1" s="2" t="s">
        <v>164</v>
      </c>
      <c r="B1" s="2" t="s">
        <v>165</v>
      </c>
      <c r="C1" s="2" t="s">
        <v>166</v>
      </c>
      <c r="D1" s="2" t="s">
        <v>167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28EA0-38BE-495E-9E4E-4AF73DBD232D}">
  <sheetPr codeName="Sheet168"/>
  <dimension ref="A1:C14"/>
  <sheetViews>
    <sheetView workbookViewId="0"/>
  </sheetViews>
  <sheetFormatPr defaultRowHeight="14" x14ac:dyDescent="0.3"/>
  <cols>
    <col min="1" max="1" width="45.6328125" style="2" customWidth="1"/>
    <col min="2" max="3" width="20.6328125" style="2" customWidth="1"/>
    <col min="4" max="16384" width="8.7265625" style="2"/>
  </cols>
  <sheetData>
    <row r="1" spans="1:3" x14ac:dyDescent="0.3">
      <c r="A1" s="1" t="s">
        <v>168</v>
      </c>
      <c r="B1" s="1" t="s">
        <v>170</v>
      </c>
      <c r="C1" s="1" t="s">
        <v>171</v>
      </c>
    </row>
    <row r="2" spans="1:3" x14ac:dyDescent="0.3">
      <c r="A2" s="2" t="s">
        <v>169</v>
      </c>
      <c r="B2" s="6">
        <v>0</v>
      </c>
      <c r="C2" s="6">
        <v>0</v>
      </c>
    </row>
    <row r="5" spans="1:3" x14ac:dyDescent="0.3">
      <c r="A5" s="1" t="s">
        <v>172</v>
      </c>
      <c r="B5" s="1"/>
      <c r="C5" s="1"/>
    </row>
    <row r="6" spans="1:3" x14ac:dyDescent="0.3">
      <c r="A6" s="1" t="s">
        <v>173</v>
      </c>
      <c r="B6" s="1"/>
      <c r="C6" s="1"/>
    </row>
    <row r="7" spans="1:3" x14ac:dyDescent="0.3">
      <c r="A7" s="2" t="s">
        <v>174</v>
      </c>
      <c r="B7" s="6">
        <v>0</v>
      </c>
      <c r="C7" s="6">
        <v>0</v>
      </c>
    </row>
    <row r="8" spans="1:3" x14ac:dyDescent="0.3">
      <c r="A8" s="2" t="s">
        <v>175</v>
      </c>
      <c r="B8" s="6">
        <v>0</v>
      </c>
      <c r="C8" s="6">
        <v>0</v>
      </c>
    </row>
    <row r="9" spans="1:3" x14ac:dyDescent="0.3">
      <c r="A9" s="2" t="s">
        <v>176</v>
      </c>
      <c r="B9" s="6">
        <v>0</v>
      </c>
      <c r="C9" s="6">
        <v>0</v>
      </c>
    </row>
    <row r="12" spans="1:3" x14ac:dyDescent="0.3">
      <c r="A12" s="1" t="s">
        <v>177</v>
      </c>
      <c r="B12" s="1"/>
      <c r="C12" s="1"/>
    </row>
    <row r="13" spans="1:3" x14ac:dyDescent="0.3">
      <c r="A13" s="2" t="s">
        <v>178</v>
      </c>
      <c r="B13" s="6">
        <v>0</v>
      </c>
      <c r="C13" s="6">
        <v>0</v>
      </c>
    </row>
    <row r="14" spans="1:3" x14ac:dyDescent="0.3">
      <c r="A14" s="2" t="s">
        <v>179</v>
      </c>
      <c r="B14" s="6">
        <v>0</v>
      </c>
      <c r="C14" s="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2C08E-48E6-48C4-B243-149694DCD0F9}">
  <sheetPr codeName="Sheet169"/>
  <dimension ref="A1:C8"/>
  <sheetViews>
    <sheetView workbookViewId="0"/>
  </sheetViews>
  <sheetFormatPr defaultRowHeight="14" x14ac:dyDescent="0.3"/>
  <cols>
    <col min="1" max="1" width="40.6328125" style="2" customWidth="1"/>
    <col min="2" max="3" width="20.6328125" style="2" customWidth="1"/>
    <col min="4" max="16384" width="8.7265625" style="2"/>
  </cols>
  <sheetData>
    <row r="1" spans="1:3" x14ac:dyDescent="0.3">
      <c r="A1" s="1" t="s">
        <v>180</v>
      </c>
      <c r="B1" s="1" t="s">
        <v>170</v>
      </c>
      <c r="C1" s="1" t="s">
        <v>171</v>
      </c>
    </row>
    <row r="2" spans="1:3" x14ac:dyDescent="0.3">
      <c r="A2" s="2" t="s">
        <v>181</v>
      </c>
      <c r="B2" s="6">
        <v>0</v>
      </c>
      <c r="C2" s="6">
        <v>0</v>
      </c>
    </row>
    <row r="3" spans="1:3" x14ac:dyDescent="0.3">
      <c r="A3" s="2" t="s">
        <v>182</v>
      </c>
      <c r="B3" s="6">
        <v>0</v>
      </c>
      <c r="C3" s="6">
        <v>0</v>
      </c>
    </row>
    <row r="5" spans="1:3" x14ac:dyDescent="0.3">
      <c r="A5" s="1" t="s">
        <v>183</v>
      </c>
      <c r="B5" s="1"/>
    </row>
    <row r="6" spans="1:3" x14ac:dyDescent="0.3">
      <c r="A6" s="2" t="s">
        <v>184</v>
      </c>
      <c r="B6" s="4">
        <v>0.25</v>
      </c>
    </row>
    <row r="7" spans="1:3" x14ac:dyDescent="0.3">
      <c r="A7" s="2" t="s">
        <v>185</v>
      </c>
      <c r="B7" s="6">
        <v>0</v>
      </c>
    </row>
    <row r="8" spans="1:3" x14ac:dyDescent="0.3">
      <c r="A8" s="2" t="s">
        <v>186</v>
      </c>
      <c r="B8" s="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6F217-B98E-4CDD-9F73-530F3733C692}">
  <sheetPr codeName="Sheet170"/>
  <dimension ref="A1:G1"/>
  <sheetViews>
    <sheetView workbookViewId="0"/>
  </sheetViews>
  <sheetFormatPr defaultRowHeight="14" x14ac:dyDescent="0.3"/>
  <cols>
    <col min="1" max="7" width="10.26953125" style="2" customWidth="1"/>
    <col min="8" max="16384" width="8.7265625" style="2"/>
  </cols>
  <sheetData>
    <row r="1" spans="1:7" x14ac:dyDescent="0.3">
      <c r="A1" s="2" t="s">
        <v>187</v>
      </c>
      <c r="B1" s="2" t="s">
        <v>188</v>
      </c>
      <c r="C1" s="2" t="s">
        <v>189</v>
      </c>
      <c r="D1" s="2" t="s">
        <v>123</v>
      </c>
      <c r="E1" s="2" t="s">
        <v>124</v>
      </c>
      <c r="F1" s="2" t="s">
        <v>190</v>
      </c>
      <c r="G1" s="2" t="s">
        <v>191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E5F24-38FF-4E19-8EC1-43FDADC2C210}">
  <sheetPr codeName="Sheet171"/>
  <dimension ref="A1:D1"/>
  <sheetViews>
    <sheetView workbookViewId="0"/>
  </sheetViews>
  <sheetFormatPr defaultRowHeight="14" x14ac:dyDescent="0.3"/>
  <cols>
    <col min="1" max="4" width="10.26953125" style="2" customWidth="1"/>
    <col min="5" max="16384" width="8.7265625" style="2"/>
  </cols>
  <sheetData>
    <row r="1" spans="1:4" x14ac:dyDescent="0.3">
      <c r="A1" s="2" t="s">
        <v>127</v>
      </c>
      <c r="B1" s="2" t="s">
        <v>192</v>
      </c>
      <c r="C1" s="2" t="s">
        <v>123</v>
      </c>
      <c r="D1" s="2" t="s">
        <v>124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DC1E7-E10E-44D7-A556-879228FC62DA}">
  <sheetPr codeName="Sheet172"/>
  <dimension ref="A1:I51"/>
  <sheetViews>
    <sheetView workbookViewId="0"/>
  </sheetViews>
  <sheetFormatPr defaultRowHeight="14" x14ac:dyDescent="0.3"/>
  <cols>
    <col min="1" max="1" width="14.453125" style="2" bestFit="1" customWidth="1"/>
    <col min="2" max="2" width="10.08984375" style="2" bestFit="1" customWidth="1"/>
    <col min="3" max="3" width="11.1796875" style="2" bestFit="1" customWidth="1"/>
    <col min="4" max="5" width="14.08984375" style="2" bestFit="1" customWidth="1"/>
    <col min="6" max="6" width="18.6328125" style="2" bestFit="1" customWidth="1"/>
    <col min="7" max="7" width="16.1796875" style="2" bestFit="1" customWidth="1"/>
    <col min="8" max="8" width="15.7265625" style="2" bestFit="1" customWidth="1"/>
    <col min="9" max="9" width="11.54296875" style="2" bestFit="1" customWidth="1"/>
    <col min="10" max="16384" width="8.7265625" style="2"/>
  </cols>
  <sheetData>
    <row r="1" spans="1:9" x14ac:dyDescent="0.3">
      <c r="A1" s="1" t="s">
        <v>193</v>
      </c>
      <c r="B1" s="1" t="s">
        <v>194</v>
      </c>
      <c r="C1" s="1" t="s">
        <v>195</v>
      </c>
      <c r="D1" s="1" t="s">
        <v>196</v>
      </c>
      <c r="E1" s="1" t="s">
        <v>197</v>
      </c>
      <c r="F1" s="1" t="s">
        <v>198</v>
      </c>
      <c r="G1" s="1" t="s">
        <v>199</v>
      </c>
      <c r="H1" s="1" t="s">
        <v>200</v>
      </c>
      <c r="I1" s="1" t="s">
        <v>149</v>
      </c>
    </row>
    <row r="2" spans="1:9" x14ac:dyDescent="0.3">
      <c r="F2" s="2" t="str">
        <f t="shared" ref="F2:F33" si="0">IF(D2&lt;&gt;"",D2-E2,"")</f>
        <v/>
      </c>
      <c r="H2" s="2" t="str">
        <f>IF(AND(F2&gt;0, ISNUMBER(C2)),Common_Control_Sheet!$B$5-C2, "")</f>
        <v/>
      </c>
      <c r="I2" s="2" t="str">
        <f t="shared" ref="I2:I33" si="1">IF(H2&lt;&gt;"",IF(H2&gt;1095,"&gt; 3 Years",IF(H2&gt;730,"2-3 Years",IF(H2&gt;365,"1-2 Years",IF(H2&gt;182,"182-365 Days","&lt; 182 Days")))),"")</f>
        <v/>
      </c>
    </row>
    <row r="3" spans="1:9" x14ac:dyDescent="0.3">
      <c r="F3" s="2" t="str">
        <f t="shared" si="0"/>
        <v/>
      </c>
      <c r="H3" s="2" t="str">
        <f>IF(AND(F3&gt;0, ISNUMBER(C3)),Common_Control_Sheet!$B$5-C3, "")</f>
        <v/>
      </c>
      <c r="I3" s="2" t="str">
        <f t="shared" si="1"/>
        <v/>
      </c>
    </row>
    <row r="4" spans="1:9" x14ac:dyDescent="0.3">
      <c r="F4" s="2" t="str">
        <f t="shared" si="0"/>
        <v/>
      </c>
      <c r="H4" s="2" t="str">
        <f>IF(AND(F4&gt;0, ISNUMBER(C4)),Common_Control_Sheet!$B$5-C4, "")</f>
        <v/>
      </c>
      <c r="I4" s="2" t="str">
        <f t="shared" si="1"/>
        <v/>
      </c>
    </row>
    <row r="5" spans="1:9" x14ac:dyDescent="0.3">
      <c r="F5" s="2" t="str">
        <f t="shared" si="0"/>
        <v/>
      </c>
      <c r="H5" s="2" t="str">
        <f>IF(AND(F5&gt;0, ISNUMBER(C5)),Common_Control_Sheet!$B$5-C5, "")</f>
        <v/>
      </c>
      <c r="I5" s="2" t="str">
        <f t="shared" si="1"/>
        <v/>
      </c>
    </row>
    <row r="6" spans="1:9" x14ac:dyDescent="0.3">
      <c r="F6" s="2" t="str">
        <f t="shared" si="0"/>
        <v/>
      </c>
      <c r="H6" s="2" t="str">
        <f>IF(AND(F6&gt;0, ISNUMBER(C6)),Common_Control_Sheet!$B$5-C6, "")</f>
        <v/>
      </c>
      <c r="I6" s="2" t="str">
        <f t="shared" si="1"/>
        <v/>
      </c>
    </row>
    <row r="7" spans="1:9" x14ac:dyDescent="0.3">
      <c r="F7" s="2" t="str">
        <f t="shared" si="0"/>
        <v/>
      </c>
      <c r="H7" s="2" t="str">
        <f>IF(AND(F7&gt;0, ISNUMBER(C7)),Common_Control_Sheet!$B$5-C7, "")</f>
        <v/>
      </c>
      <c r="I7" s="2" t="str">
        <f t="shared" si="1"/>
        <v/>
      </c>
    </row>
    <row r="8" spans="1:9" x14ac:dyDescent="0.3">
      <c r="F8" s="2" t="str">
        <f t="shared" si="0"/>
        <v/>
      </c>
      <c r="H8" s="2" t="str">
        <f>IF(AND(F8&gt;0, ISNUMBER(C8)),Common_Control_Sheet!$B$5-C8, "")</f>
        <v/>
      </c>
      <c r="I8" s="2" t="str">
        <f t="shared" si="1"/>
        <v/>
      </c>
    </row>
    <row r="9" spans="1:9" x14ac:dyDescent="0.3">
      <c r="F9" s="2" t="str">
        <f t="shared" si="0"/>
        <v/>
      </c>
      <c r="H9" s="2" t="str">
        <f>IF(AND(F9&gt;0, ISNUMBER(C9)),Common_Control_Sheet!$B$5-C9, "")</f>
        <v/>
      </c>
      <c r="I9" s="2" t="str">
        <f t="shared" si="1"/>
        <v/>
      </c>
    </row>
    <row r="10" spans="1:9" x14ac:dyDescent="0.3">
      <c r="F10" s="2" t="str">
        <f t="shared" si="0"/>
        <v/>
      </c>
      <c r="H10" s="2" t="str">
        <f>IF(AND(F10&gt;0, ISNUMBER(C10)),Common_Control_Sheet!$B$5-C10, "")</f>
        <v/>
      </c>
      <c r="I10" s="2" t="str">
        <f t="shared" si="1"/>
        <v/>
      </c>
    </row>
    <row r="11" spans="1:9" x14ac:dyDescent="0.3">
      <c r="F11" s="2" t="str">
        <f t="shared" si="0"/>
        <v/>
      </c>
      <c r="H11" s="2" t="str">
        <f>IF(AND(F11&gt;0, ISNUMBER(C11)),Common_Control_Sheet!$B$5-C11, "")</f>
        <v/>
      </c>
      <c r="I11" s="2" t="str">
        <f t="shared" si="1"/>
        <v/>
      </c>
    </row>
    <row r="12" spans="1:9" x14ac:dyDescent="0.3">
      <c r="F12" s="2" t="str">
        <f t="shared" si="0"/>
        <v/>
      </c>
      <c r="H12" s="2" t="str">
        <f>IF(AND(F12&gt;0, ISNUMBER(C12)),Common_Control_Sheet!$B$5-C12, "")</f>
        <v/>
      </c>
      <c r="I12" s="2" t="str">
        <f t="shared" si="1"/>
        <v/>
      </c>
    </row>
    <row r="13" spans="1:9" x14ac:dyDescent="0.3">
      <c r="F13" s="2" t="str">
        <f t="shared" si="0"/>
        <v/>
      </c>
      <c r="H13" s="2" t="str">
        <f>IF(AND(F13&gt;0, ISNUMBER(C13)),Common_Control_Sheet!$B$5-C13, "")</f>
        <v/>
      </c>
      <c r="I13" s="2" t="str">
        <f t="shared" si="1"/>
        <v/>
      </c>
    </row>
    <row r="14" spans="1:9" x14ac:dyDescent="0.3">
      <c r="F14" s="2" t="str">
        <f t="shared" si="0"/>
        <v/>
      </c>
      <c r="H14" s="2" t="str">
        <f>IF(AND(F14&gt;0, ISNUMBER(C14)),Common_Control_Sheet!$B$5-C14, "")</f>
        <v/>
      </c>
      <c r="I14" s="2" t="str">
        <f t="shared" si="1"/>
        <v/>
      </c>
    </row>
    <row r="15" spans="1:9" x14ac:dyDescent="0.3">
      <c r="F15" s="2" t="str">
        <f t="shared" si="0"/>
        <v/>
      </c>
      <c r="H15" s="2" t="str">
        <f>IF(AND(F15&gt;0, ISNUMBER(C15)),Common_Control_Sheet!$B$5-C15, "")</f>
        <v/>
      </c>
      <c r="I15" s="2" t="str">
        <f t="shared" si="1"/>
        <v/>
      </c>
    </row>
    <row r="16" spans="1:9" x14ac:dyDescent="0.3">
      <c r="F16" s="2" t="str">
        <f t="shared" si="0"/>
        <v/>
      </c>
      <c r="H16" s="2" t="str">
        <f>IF(AND(F16&gt;0, ISNUMBER(C16)),Common_Control_Sheet!$B$5-C16, "")</f>
        <v/>
      </c>
      <c r="I16" s="2" t="str">
        <f t="shared" si="1"/>
        <v/>
      </c>
    </row>
    <row r="17" spans="6:9" x14ac:dyDescent="0.3">
      <c r="F17" s="2" t="str">
        <f t="shared" si="0"/>
        <v/>
      </c>
      <c r="H17" s="2" t="str">
        <f>IF(AND(F17&gt;0, ISNUMBER(C17)),Common_Control_Sheet!$B$5-C17, "")</f>
        <v/>
      </c>
      <c r="I17" s="2" t="str">
        <f t="shared" si="1"/>
        <v/>
      </c>
    </row>
    <row r="18" spans="6:9" x14ac:dyDescent="0.3">
      <c r="F18" s="2" t="str">
        <f t="shared" si="0"/>
        <v/>
      </c>
      <c r="H18" s="2" t="str">
        <f>IF(AND(F18&gt;0, ISNUMBER(C18)),Common_Control_Sheet!$B$5-C18, "")</f>
        <v/>
      </c>
      <c r="I18" s="2" t="str">
        <f t="shared" si="1"/>
        <v/>
      </c>
    </row>
    <row r="19" spans="6:9" x14ac:dyDescent="0.3">
      <c r="F19" s="2" t="str">
        <f t="shared" si="0"/>
        <v/>
      </c>
      <c r="H19" s="2" t="str">
        <f>IF(AND(F19&gt;0, ISNUMBER(C19)),Common_Control_Sheet!$B$5-C19, "")</f>
        <v/>
      </c>
      <c r="I19" s="2" t="str">
        <f t="shared" si="1"/>
        <v/>
      </c>
    </row>
    <row r="20" spans="6:9" x14ac:dyDescent="0.3">
      <c r="F20" s="2" t="str">
        <f t="shared" si="0"/>
        <v/>
      </c>
      <c r="H20" s="2" t="str">
        <f>IF(AND(F20&gt;0, ISNUMBER(C20)),Common_Control_Sheet!$B$5-C20, "")</f>
        <v/>
      </c>
      <c r="I20" s="2" t="str">
        <f t="shared" si="1"/>
        <v/>
      </c>
    </row>
    <row r="21" spans="6:9" x14ac:dyDescent="0.3">
      <c r="F21" s="2" t="str">
        <f t="shared" si="0"/>
        <v/>
      </c>
      <c r="H21" s="2" t="str">
        <f>IF(AND(F21&gt;0, ISNUMBER(C21)),Common_Control_Sheet!$B$5-C21, "")</f>
        <v/>
      </c>
      <c r="I21" s="2" t="str">
        <f t="shared" si="1"/>
        <v/>
      </c>
    </row>
    <row r="22" spans="6:9" x14ac:dyDescent="0.3">
      <c r="F22" s="2" t="str">
        <f t="shared" si="0"/>
        <v/>
      </c>
      <c r="H22" s="2" t="str">
        <f>IF(AND(F22&gt;0, ISNUMBER(C22)),Common_Control_Sheet!$B$5-C22, "")</f>
        <v/>
      </c>
      <c r="I22" s="2" t="str">
        <f t="shared" si="1"/>
        <v/>
      </c>
    </row>
    <row r="23" spans="6:9" x14ac:dyDescent="0.3">
      <c r="F23" s="2" t="str">
        <f t="shared" si="0"/>
        <v/>
      </c>
      <c r="H23" s="2" t="str">
        <f>IF(AND(F23&gt;0, ISNUMBER(C23)),Common_Control_Sheet!$B$5-C23, "")</f>
        <v/>
      </c>
      <c r="I23" s="2" t="str">
        <f t="shared" si="1"/>
        <v/>
      </c>
    </row>
    <row r="24" spans="6:9" x14ac:dyDescent="0.3">
      <c r="F24" s="2" t="str">
        <f t="shared" si="0"/>
        <v/>
      </c>
      <c r="H24" s="2" t="str">
        <f>IF(AND(F24&gt;0, ISNUMBER(C24)),Common_Control_Sheet!$B$5-C24, "")</f>
        <v/>
      </c>
      <c r="I24" s="2" t="str">
        <f t="shared" si="1"/>
        <v/>
      </c>
    </row>
    <row r="25" spans="6:9" x14ac:dyDescent="0.3">
      <c r="F25" s="2" t="str">
        <f t="shared" si="0"/>
        <v/>
      </c>
      <c r="H25" s="2" t="str">
        <f>IF(AND(F25&gt;0, ISNUMBER(C25)),Common_Control_Sheet!$B$5-C25, "")</f>
        <v/>
      </c>
      <c r="I25" s="2" t="str">
        <f t="shared" si="1"/>
        <v/>
      </c>
    </row>
    <row r="26" spans="6:9" x14ac:dyDescent="0.3">
      <c r="F26" s="2" t="str">
        <f t="shared" si="0"/>
        <v/>
      </c>
      <c r="H26" s="2" t="str">
        <f>IF(AND(F26&gt;0, ISNUMBER(C26)),Common_Control_Sheet!$B$5-C26, "")</f>
        <v/>
      </c>
      <c r="I26" s="2" t="str">
        <f t="shared" si="1"/>
        <v/>
      </c>
    </row>
    <row r="27" spans="6:9" x14ac:dyDescent="0.3">
      <c r="F27" s="2" t="str">
        <f t="shared" si="0"/>
        <v/>
      </c>
      <c r="H27" s="2" t="str">
        <f>IF(AND(F27&gt;0, ISNUMBER(C27)),Common_Control_Sheet!$B$5-C27, "")</f>
        <v/>
      </c>
      <c r="I27" s="2" t="str">
        <f t="shared" si="1"/>
        <v/>
      </c>
    </row>
    <row r="28" spans="6:9" x14ac:dyDescent="0.3">
      <c r="F28" s="2" t="str">
        <f t="shared" si="0"/>
        <v/>
      </c>
      <c r="H28" s="2" t="str">
        <f>IF(AND(F28&gt;0, ISNUMBER(C28)),Common_Control_Sheet!$B$5-C28, "")</f>
        <v/>
      </c>
      <c r="I28" s="2" t="str">
        <f t="shared" si="1"/>
        <v/>
      </c>
    </row>
    <row r="29" spans="6:9" x14ac:dyDescent="0.3">
      <c r="F29" s="2" t="str">
        <f t="shared" si="0"/>
        <v/>
      </c>
      <c r="H29" s="2" t="str">
        <f>IF(AND(F29&gt;0, ISNUMBER(C29)),Common_Control_Sheet!$B$5-C29, "")</f>
        <v/>
      </c>
      <c r="I29" s="2" t="str">
        <f t="shared" si="1"/>
        <v/>
      </c>
    </row>
    <row r="30" spans="6:9" x14ac:dyDescent="0.3">
      <c r="F30" s="2" t="str">
        <f t="shared" si="0"/>
        <v/>
      </c>
      <c r="H30" s="2" t="str">
        <f>IF(AND(F30&gt;0, ISNUMBER(C30)),Common_Control_Sheet!$B$5-C30, "")</f>
        <v/>
      </c>
      <c r="I30" s="2" t="str">
        <f t="shared" si="1"/>
        <v/>
      </c>
    </row>
    <row r="31" spans="6:9" x14ac:dyDescent="0.3">
      <c r="F31" s="2" t="str">
        <f t="shared" si="0"/>
        <v/>
      </c>
      <c r="H31" s="2" t="str">
        <f>IF(AND(F31&gt;0, ISNUMBER(C31)),Common_Control_Sheet!$B$5-C31, "")</f>
        <v/>
      </c>
      <c r="I31" s="2" t="str">
        <f t="shared" si="1"/>
        <v/>
      </c>
    </row>
    <row r="32" spans="6:9" x14ac:dyDescent="0.3">
      <c r="F32" s="2" t="str">
        <f t="shared" si="0"/>
        <v/>
      </c>
      <c r="H32" s="2" t="str">
        <f>IF(AND(F32&gt;0, ISNUMBER(C32)),Common_Control_Sheet!$B$5-C32, "")</f>
        <v/>
      </c>
      <c r="I32" s="2" t="str">
        <f t="shared" si="1"/>
        <v/>
      </c>
    </row>
    <row r="33" spans="6:9" x14ac:dyDescent="0.3">
      <c r="F33" s="2" t="str">
        <f t="shared" si="0"/>
        <v/>
      </c>
      <c r="H33" s="2" t="str">
        <f>IF(AND(F33&gt;0, ISNUMBER(C33)),Common_Control_Sheet!$B$5-C33, "")</f>
        <v/>
      </c>
      <c r="I33" s="2" t="str">
        <f t="shared" si="1"/>
        <v/>
      </c>
    </row>
    <row r="34" spans="6:9" x14ac:dyDescent="0.3">
      <c r="F34" s="2" t="str">
        <f t="shared" ref="F34:F51" si="2">IF(D34&lt;&gt;"",D34-E34,"")</f>
        <v/>
      </c>
      <c r="H34" s="2" t="str">
        <f>IF(AND(F34&gt;0, ISNUMBER(C34)),Common_Control_Sheet!$B$5-C34, "")</f>
        <v/>
      </c>
      <c r="I34" s="2" t="str">
        <f t="shared" ref="I34:I51" si="3">IF(H34&lt;&gt;"",IF(H34&gt;1095,"&gt; 3 Years",IF(H34&gt;730,"2-3 Years",IF(H34&gt;365,"1-2 Years",IF(H34&gt;182,"182-365 Days","&lt; 182 Days")))),"")</f>
        <v/>
      </c>
    </row>
    <row r="35" spans="6:9" x14ac:dyDescent="0.3">
      <c r="F35" s="2" t="str">
        <f t="shared" si="2"/>
        <v/>
      </c>
      <c r="H35" s="2" t="str">
        <f>IF(AND(F35&gt;0, ISNUMBER(C35)),Common_Control_Sheet!$B$5-C35, "")</f>
        <v/>
      </c>
      <c r="I35" s="2" t="str">
        <f t="shared" si="3"/>
        <v/>
      </c>
    </row>
    <row r="36" spans="6:9" x14ac:dyDescent="0.3">
      <c r="F36" s="2" t="str">
        <f t="shared" si="2"/>
        <v/>
      </c>
      <c r="H36" s="2" t="str">
        <f>IF(AND(F36&gt;0, ISNUMBER(C36)),Common_Control_Sheet!$B$5-C36, "")</f>
        <v/>
      </c>
      <c r="I36" s="2" t="str">
        <f t="shared" si="3"/>
        <v/>
      </c>
    </row>
    <row r="37" spans="6:9" x14ac:dyDescent="0.3">
      <c r="F37" s="2" t="str">
        <f t="shared" si="2"/>
        <v/>
      </c>
      <c r="H37" s="2" t="str">
        <f>IF(AND(F37&gt;0, ISNUMBER(C37)),Common_Control_Sheet!$B$5-C37, "")</f>
        <v/>
      </c>
      <c r="I37" s="2" t="str">
        <f t="shared" si="3"/>
        <v/>
      </c>
    </row>
    <row r="38" spans="6:9" x14ac:dyDescent="0.3">
      <c r="F38" s="2" t="str">
        <f t="shared" si="2"/>
        <v/>
      </c>
      <c r="H38" s="2" t="str">
        <f>IF(AND(F38&gt;0, ISNUMBER(C38)),Common_Control_Sheet!$B$5-C38, "")</f>
        <v/>
      </c>
      <c r="I38" s="2" t="str">
        <f t="shared" si="3"/>
        <v/>
      </c>
    </row>
    <row r="39" spans="6:9" x14ac:dyDescent="0.3">
      <c r="F39" s="2" t="str">
        <f t="shared" si="2"/>
        <v/>
      </c>
      <c r="H39" s="2" t="str">
        <f>IF(AND(F39&gt;0, ISNUMBER(C39)),Common_Control_Sheet!$B$5-C39, "")</f>
        <v/>
      </c>
      <c r="I39" s="2" t="str">
        <f t="shared" si="3"/>
        <v/>
      </c>
    </row>
    <row r="40" spans="6:9" x14ac:dyDescent="0.3">
      <c r="F40" s="2" t="str">
        <f t="shared" si="2"/>
        <v/>
      </c>
      <c r="H40" s="2" t="str">
        <f>IF(AND(F40&gt;0, ISNUMBER(C40)),Common_Control_Sheet!$B$5-C40, "")</f>
        <v/>
      </c>
      <c r="I40" s="2" t="str">
        <f t="shared" si="3"/>
        <v/>
      </c>
    </row>
    <row r="41" spans="6:9" x14ac:dyDescent="0.3">
      <c r="F41" s="2" t="str">
        <f t="shared" si="2"/>
        <v/>
      </c>
      <c r="H41" s="2" t="str">
        <f>IF(AND(F41&gt;0, ISNUMBER(C41)),Common_Control_Sheet!$B$5-C41, "")</f>
        <v/>
      </c>
      <c r="I41" s="2" t="str">
        <f t="shared" si="3"/>
        <v/>
      </c>
    </row>
    <row r="42" spans="6:9" x14ac:dyDescent="0.3">
      <c r="F42" s="2" t="str">
        <f t="shared" si="2"/>
        <v/>
      </c>
      <c r="H42" s="2" t="str">
        <f>IF(AND(F42&gt;0, ISNUMBER(C42)),Common_Control_Sheet!$B$5-C42, "")</f>
        <v/>
      </c>
      <c r="I42" s="2" t="str">
        <f t="shared" si="3"/>
        <v/>
      </c>
    </row>
    <row r="43" spans="6:9" x14ac:dyDescent="0.3">
      <c r="F43" s="2" t="str">
        <f t="shared" si="2"/>
        <v/>
      </c>
      <c r="H43" s="2" t="str">
        <f>IF(AND(F43&gt;0, ISNUMBER(C43)),Common_Control_Sheet!$B$5-C43, "")</f>
        <v/>
      </c>
      <c r="I43" s="2" t="str">
        <f t="shared" si="3"/>
        <v/>
      </c>
    </row>
    <row r="44" spans="6:9" x14ac:dyDescent="0.3">
      <c r="F44" s="2" t="str">
        <f t="shared" si="2"/>
        <v/>
      </c>
      <c r="H44" s="2" t="str">
        <f>IF(AND(F44&gt;0, ISNUMBER(C44)),Common_Control_Sheet!$B$5-C44, "")</f>
        <v/>
      </c>
      <c r="I44" s="2" t="str">
        <f t="shared" si="3"/>
        <v/>
      </c>
    </row>
    <row r="45" spans="6:9" x14ac:dyDescent="0.3">
      <c r="F45" s="2" t="str">
        <f t="shared" si="2"/>
        <v/>
      </c>
      <c r="H45" s="2" t="str">
        <f>IF(AND(F45&gt;0, ISNUMBER(C45)),Common_Control_Sheet!$B$5-C45, "")</f>
        <v/>
      </c>
      <c r="I45" s="2" t="str">
        <f t="shared" si="3"/>
        <v/>
      </c>
    </row>
    <row r="46" spans="6:9" x14ac:dyDescent="0.3">
      <c r="F46" s="2" t="str">
        <f t="shared" si="2"/>
        <v/>
      </c>
      <c r="H46" s="2" t="str">
        <f>IF(AND(F46&gt;0, ISNUMBER(C46)),Common_Control_Sheet!$B$5-C46, "")</f>
        <v/>
      </c>
      <c r="I46" s="2" t="str">
        <f t="shared" si="3"/>
        <v/>
      </c>
    </row>
    <row r="47" spans="6:9" x14ac:dyDescent="0.3">
      <c r="F47" s="2" t="str">
        <f t="shared" si="2"/>
        <v/>
      </c>
      <c r="H47" s="2" t="str">
        <f>IF(AND(F47&gt;0, ISNUMBER(C47)),Common_Control_Sheet!$B$5-C47, "")</f>
        <v/>
      </c>
      <c r="I47" s="2" t="str">
        <f t="shared" si="3"/>
        <v/>
      </c>
    </row>
    <row r="48" spans="6:9" x14ac:dyDescent="0.3">
      <c r="F48" s="2" t="str">
        <f t="shared" si="2"/>
        <v/>
      </c>
      <c r="H48" s="2" t="str">
        <f>IF(AND(F48&gt;0, ISNUMBER(C48)),Common_Control_Sheet!$B$5-C48, "")</f>
        <v/>
      </c>
      <c r="I48" s="2" t="str">
        <f t="shared" si="3"/>
        <v/>
      </c>
    </row>
    <row r="49" spans="6:9" x14ac:dyDescent="0.3">
      <c r="F49" s="2" t="str">
        <f t="shared" si="2"/>
        <v/>
      </c>
      <c r="H49" s="2" t="str">
        <f>IF(AND(F49&gt;0, ISNUMBER(C49)),Common_Control_Sheet!$B$5-C49, "")</f>
        <v/>
      </c>
      <c r="I49" s="2" t="str">
        <f t="shared" si="3"/>
        <v/>
      </c>
    </row>
    <row r="50" spans="6:9" x14ac:dyDescent="0.3">
      <c r="F50" s="2" t="str">
        <f t="shared" si="2"/>
        <v/>
      </c>
      <c r="H50" s="2" t="str">
        <f>IF(AND(F50&gt;0, ISNUMBER(C50)),Common_Control_Sheet!$B$5-C50, "")</f>
        <v/>
      </c>
      <c r="I50" s="2" t="str">
        <f t="shared" si="3"/>
        <v/>
      </c>
    </row>
    <row r="51" spans="6:9" x14ac:dyDescent="0.3">
      <c r="F51" s="2" t="str">
        <f t="shared" si="2"/>
        <v/>
      </c>
      <c r="H51" s="2" t="str">
        <f>IF(AND(F51&gt;0, ISNUMBER(C51)),Common_Control_Sheet!$B$5-C51, "")</f>
        <v/>
      </c>
      <c r="I51" s="2" t="str">
        <f t="shared" si="3"/>
        <v/>
      </c>
    </row>
  </sheetData>
  <dataValidations count="1">
    <dataValidation type="list" allowBlank="1" showInputMessage="1" showErrorMessage="1" sqref="G2:G51" xr:uid="{75755589-26EF-4B54-B05E-98E9B07D99E3}">
      <formula1>"Yes,No"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D1B92-ACA2-4575-AB97-109648873FA6}">
  <sheetPr codeName="Sheet173"/>
  <dimension ref="A1:I51"/>
  <sheetViews>
    <sheetView workbookViewId="0"/>
  </sheetViews>
  <sheetFormatPr defaultRowHeight="14" x14ac:dyDescent="0.3"/>
  <cols>
    <col min="1" max="1" width="12.36328125" style="2" bestFit="1" customWidth="1"/>
    <col min="2" max="2" width="10.08984375" style="2" bestFit="1" customWidth="1"/>
    <col min="3" max="3" width="11.1796875" style="2" bestFit="1" customWidth="1"/>
    <col min="4" max="5" width="14.08984375" style="2" bestFit="1" customWidth="1"/>
    <col min="6" max="6" width="18.6328125" style="2" bestFit="1" customWidth="1"/>
    <col min="7" max="7" width="16.1796875" style="2" bestFit="1" customWidth="1"/>
    <col min="8" max="8" width="24.90625" style="2" bestFit="1" customWidth="1"/>
    <col min="9" max="9" width="11.54296875" style="2" bestFit="1" customWidth="1"/>
    <col min="10" max="16384" width="8.7265625" style="2"/>
  </cols>
  <sheetData>
    <row r="1" spans="1:9" x14ac:dyDescent="0.3">
      <c r="A1" s="1" t="s">
        <v>440</v>
      </c>
      <c r="B1" s="1" t="s">
        <v>194</v>
      </c>
      <c r="C1" s="1" t="s">
        <v>195</v>
      </c>
      <c r="D1" s="1" t="s">
        <v>196</v>
      </c>
      <c r="E1" s="1" t="s">
        <v>197</v>
      </c>
      <c r="F1" s="1" t="s">
        <v>198</v>
      </c>
      <c r="G1" s="1" t="s">
        <v>199</v>
      </c>
      <c r="H1" s="1" t="s">
        <v>441</v>
      </c>
      <c r="I1" s="1" t="s">
        <v>149</v>
      </c>
    </row>
    <row r="2" spans="1:9" x14ac:dyDescent="0.3">
      <c r="F2" s="2" t="str">
        <f t="shared" ref="F2:F33" si="0">IF(D2&lt;&gt;"",D2-E2,"")</f>
        <v/>
      </c>
      <c r="I2" s="2" t="str">
        <f>IF(F2&gt;0,IF(Common_Control_Sheet!$B$5-C2&gt;1095,"&gt; 3 Years",IF(Common_Control_Sheet!$B$5-C2&gt;730,"2-3 Years",IF(Common_Control_Sheet!$B$5-C2&gt;365,"1-2 Years",IF(Common_Control_Sheet!$B$5-C2&gt;182,"182-365 Days","&lt; 182 Days")))),"")</f>
        <v>&gt; 3 Years</v>
      </c>
    </row>
    <row r="3" spans="1:9" x14ac:dyDescent="0.3">
      <c r="F3" s="2" t="str">
        <f t="shared" si="0"/>
        <v/>
      </c>
      <c r="I3" s="2" t="str">
        <f>IF(F3&gt;0,IF(Common_Control_Sheet!$B$5-C3&gt;1095,"&gt; 3 Years",IF(Common_Control_Sheet!$B$5-C3&gt;730,"2-3 Years",IF(Common_Control_Sheet!$B$5-C3&gt;365,"1-2 Years",IF(Common_Control_Sheet!$B$5-C3&gt;182,"182-365 Days","&lt; 182 Days")))),"")</f>
        <v>&gt; 3 Years</v>
      </c>
    </row>
    <row r="4" spans="1:9" x14ac:dyDescent="0.3">
      <c r="F4" s="2" t="str">
        <f t="shared" si="0"/>
        <v/>
      </c>
      <c r="I4" s="2" t="str">
        <f>IF(F4&gt;0,IF(Common_Control_Sheet!$B$5-C4&gt;1095,"&gt; 3 Years",IF(Common_Control_Sheet!$B$5-C4&gt;730,"2-3 Years",IF(Common_Control_Sheet!$B$5-C4&gt;365,"1-2 Years",IF(Common_Control_Sheet!$B$5-C4&gt;182,"182-365 Days","&lt; 182 Days")))),"")</f>
        <v>&gt; 3 Years</v>
      </c>
    </row>
    <row r="5" spans="1:9" x14ac:dyDescent="0.3">
      <c r="F5" s="2" t="str">
        <f t="shared" si="0"/>
        <v/>
      </c>
      <c r="I5" s="2" t="str">
        <f>IF(F5&gt;0,IF(Common_Control_Sheet!$B$5-C5&gt;1095,"&gt; 3 Years",IF(Common_Control_Sheet!$B$5-C5&gt;730,"2-3 Years",IF(Common_Control_Sheet!$B$5-C5&gt;365,"1-2 Years",IF(Common_Control_Sheet!$B$5-C5&gt;182,"182-365 Days","&lt; 182 Days")))),"")</f>
        <v>&gt; 3 Years</v>
      </c>
    </row>
    <row r="6" spans="1:9" x14ac:dyDescent="0.3">
      <c r="F6" s="2" t="str">
        <f t="shared" si="0"/>
        <v/>
      </c>
      <c r="I6" s="2" t="str">
        <f>IF(F6&gt;0,IF(Common_Control_Sheet!$B$5-C6&gt;1095,"&gt; 3 Years",IF(Common_Control_Sheet!$B$5-C6&gt;730,"2-3 Years",IF(Common_Control_Sheet!$B$5-C6&gt;365,"1-2 Years",IF(Common_Control_Sheet!$B$5-C6&gt;182,"182-365 Days","&lt; 182 Days")))),"")</f>
        <v>&gt; 3 Years</v>
      </c>
    </row>
    <row r="7" spans="1:9" x14ac:dyDescent="0.3">
      <c r="F7" s="2" t="str">
        <f t="shared" si="0"/>
        <v/>
      </c>
      <c r="I7" s="2" t="str">
        <f>IF(F7&gt;0,IF(Common_Control_Sheet!$B$5-C7&gt;1095,"&gt; 3 Years",IF(Common_Control_Sheet!$B$5-C7&gt;730,"2-3 Years",IF(Common_Control_Sheet!$B$5-C7&gt;365,"1-2 Years",IF(Common_Control_Sheet!$B$5-C7&gt;182,"182-365 Days","&lt; 182 Days")))),"")</f>
        <v>&gt; 3 Years</v>
      </c>
    </row>
    <row r="8" spans="1:9" x14ac:dyDescent="0.3">
      <c r="F8" s="2" t="str">
        <f t="shared" si="0"/>
        <v/>
      </c>
      <c r="I8" s="2" t="str">
        <f>IF(F8&gt;0,IF(Common_Control_Sheet!$B$5-C8&gt;1095,"&gt; 3 Years",IF(Common_Control_Sheet!$B$5-C8&gt;730,"2-3 Years",IF(Common_Control_Sheet!$B$5-C8&gt;365,"1-2 Years",IF(Common_Control_Sheet!$B$5-C8&gt;182,"182-365 Days","&lt; 182 Days")))),"")</f>
        <v>&gt; 3 Years</v>
      </c>
    </row>
    <row r="9" spans="1:9" x14ac:dyDescent="0.3">
      <c r="F9" s="2" t="str">
        <f t="shared" si="0"/>
        <v/>
      </c>
      <c r="I9" s="2" t="str">
        <f>IF(F9&gt;0,IF(Common_Control_Sheet!$B$5-C9&gt;1095,"&gt; 3 Years",IF(Common_Control_Sheet!$B$5-C9&gt;730,"2-3 Years",IF(Common_Control_Sheet!$B$5-C9&gt;365,"1-2 Years",IF(Common_Control_Sheet!$B$5-C9&gt;182,"182-365 Days","&lt; 182 Days")))),"")</f>
        <v>&gt; 3 Years</v>
      </c>
    </row>
    <row r="10" spans="1:9" x14ac:dyDescent="0.3">
      <c r="F10" s="2" t="str">
        <f t="shared" si="0"/>
        <v/>
      </c>
      <c r="I10" s="2" t="str">
        <f>IF(F10&gt;0,IF(Common_Control_Sheet!$B$5-C10&gt;1095,"&gt; 3 Years",IF(Common_Control_Sheet!$B$5-C10&gt;730,"2-3 Years",IF(Common_Control_Sheet!$B$5-C10&gt;365,"1-2 Years",IF(Common_Control_Sheet!$B$5-C10&gt;182,"182-365 Days","&lt; 182 Days")))),"")</f>
        <v>&gt; 3 Years</v>
      </c>
    </row>
    <row r="11" spans="1:9" x14ac:dyDescent="0.3">
      <c r="F11" s="2" t="str">
        <f t="shared" si="0"/>
        <v/>
      </c>
      <c r="I11" s="2" t="str">
        <f>IF(F11&gt;0,IF(Common_Control_Sheet!$B$5-C11&gt;1095,"&gt; 3 Years",IF(Common_Control_Sheet!$B$5-C11&gt;730,"2-3 Years",IF(Common_Control_Sheet!$B$5-C11&gt;365,"1-2 Years",IF(Common_Control_Sheet!$B$5-C11&gt;182,"182-365 Days","&lt; 182 Days")))),"")</f>
        <v>&gt; 3 Years</v>
      </c>
    </row>
    <row r="12" spans="1:9" x14ac:dyDescent="0.3">
      <c r="F12" s="2" t="str">
        <f t="shared" si="0"/>
        <v/>
      </c>
      <c r="I12" s="2" t="str">
        <f>IF(F12&gt;0,IF(Common_Control_Sheet!$B$5-C12&gt;1095,"&gt; 3 Years",IF(Common_Control_Sheet!$B$5-C12&gt;730,"2-3 Years",IF(Common_Control_Sheet!$B$5-C12&gt;365,"1-2 Years",IF(Common_Control_Sheet!$B$5-C12&gt;182,"182-365 Days","&lt; 182 Days")))),"")</f>
        <v>&gt; 3 Years</v>
      </c>
    </row>
    <row r="13" spans="1:9" x14ac:dyDescent="0.3">
      <c r="F13" s="2" t="str">
        <f t="shared" si="0"/>
        <v/>
      </c>
      <c r="I13" s="2" t="str">
        <f>IF(F13&gt;0,IF(Common_Control_Sheet!$B$5-C13&gt;1095,"&gt; 3 Years",IF(Common_Control_Sheet!$B$5-C13&gt;730,"2-3 Years",IF(Common_Control_Sheet!$B$5-C13&gt;365,"1-2 Years",IF(Common_Control_Sheet!$B$5-C13&gt;182,"182-365 Days","&lt; 182 Days")))),"")</f>
        <v>&gt; 3 Years</v>
      </c>
    </row>
    <row r="14" spans="1:9" x14ac:dyDescent="0.3">
      <c r="F14" s="2" t="str">
        <f t="shared" si="0"/>
        <v/>
      </c>
      <c r="I14" s="2" t="str">
        <f>IF(F14&gt;0,IF(Common_Control_Sheet!$B$5-C14&gt;1095,"&gt; 3 Years",IF(Common_Control_Sheet!$B$5-C14&gt;730,"2-3 Years",IF(Common_Control_Sheet!$B$5-C14&gt;365,"1-2 Years",IF(Common_Control_Sheet!$B$5-C14&gt;182,"182-365 Days","&lt; 182 Days")))),"")</f>
        <v>&gt; 3 Years</v>
      </c>
    </row>
    <row r="15" spans="1:9" x14ac:dyDescent="0.3">
      <c r="F15" s="2" t="str">
        <f t="shared" si="0"/>
        <v/>
      </c>
      <c r="I15" s="2" t="str">
        <f>IF(F15&gt;0,IF(Common_Control_Sheet!$B$5-C15&gt;1095,"&gt; 3 Years",IF(Common_Control_Sheet!$B$5-C15&gt;730,"2-3 Years",IF(Common_Control_Sheet!$B$5-C15&gt;365,"1-2 Years",IF(Common_Control_Sheet!$B$5-C15&gt;182,"182-365 Days","&lt; 182 Days")))),"")</f>
        <v>&gt; 3 Years</v>
      </c>
    </row>
    <row r="16" spans="1:9" x14ac:dyDescent="0.3">
      <c r="F16" s="2" t="str">
        <f t="shared" si="0"/>
        <v/>
      </c>
      <c r="I16" s="2" t="str">
        <f>IF(F16&gt;0,IF(Common_Control_Sheet!$B$5-C16&gt;1095,"&gt; 3 Years",IF(Common_Control_Sheet!$B$5-C16&gt;730,"2-3 Years",IF(Common_Control_Sheet!$B$5-C16&gt;365,"1-2 Years",IF(Common_Control_Sheet!$B$5-C16&gt;182,"182-365 Days","&lt; 182 Days")))),"")</f>
        <v>&gt; 3 Years</v>
      </c>
    </row>
    <row r="17" spans="6:9" x14ac:dyDescent="0.3">
      <c r="F17" s="2" t="str">
        <f t="shared" si="0"/>
        <v/>
      </c>
      <c r="I17" s="2" t="str">
        <f>IF(F17&gt;0,IF(Common_Control_Sheet!$B$5-C17&gt;1095,"&gt; 3 Years",IF(Common_Control_Sheet!$B$5-C17&gt;730,"2-3 Years",IF(Common_Control_Sheet!$B$5-C17&gt;365,"1-2 Years",IF(Common_Control_Sheet!$B$5-C17&gt;182,"182-365 Days","&lt; 182 Days")))),"")</f>
        <v>&gt; 3 Years</v>
      </c>
    </row>
    <row r="18" spans="6:9" x14ac:dyDescent="0.3">
      <c r="F18" s="2" t="str">
        <f t="shared" si="0"/>
        <v/>
      </c>
      <c r="I18" s="2" t="str">
        <f>IF(F18&gt;0,IF(Common_Control_Sheet!$B$5-C18&gt;1095,"&gt; 3 Years",IF(Common_Control_Sheet!$B$5-C18&gt;730,"2-3 Years",IF(Common_Control_Sheet!$B$5-C18&gt;365,"1-2 Years",IF(Common_Control_Sheet!$B$5-C18&gt;182,"182-365 Days","&lt; 182 Days")))),"")</f>
        <v>&gt; 3 Years</v>
      </c>
    </row>
    <row r="19" spans="6:9" x14ac:dyDescent="0.3">
      <c r="F19" s="2" t="str">
        <f t="shared" si="0"/>
        <v/>
      </c>
      <c r="I19" s="2" t="str">
        <f>IF(F19&gt;0,IF(Common_Control_Sheet!$B$5-C19&gt;1095,"&gt; 3 Years",IF(Common_Control_Sheet!$B$5-C19&gt;730,"2-3 Years",IF(Common_Control_Sheet!$B$5-C19&gt;365,"1-2 Years",IF(Common_Control_Sheet!$B$5-C19&gt;182,"182-365 Days","&lt; 182 Days")))),"")</f>
        <v>&gt; 3 Years</v>
      </c>
    </row>
    <row r="20" spans="6:9" x14ac:dyDescent="0.3">
      <c r="F20" s="2" t="str">
        <f t="shared" si="0"/>
        <v/>
      </c>
      <c r="I20" s="2" t="str">
        <f>IF(F20&gt;0,IF(Common_Control_Sheet!$B$5-C20&gt;1095,"&gt; 3 Years",IF(Common_Control_Sheet!$B$5-C20&gt;730,"2-3 Years",IF(Common_Control_Sheet!$B$5-C20&gt;365,"1-2 Years",IF(Common_Control_Sheet!$B$5-C20&gt;182,"182-365 Days","&lt; 182 Days")))),"")</f>
        <v>&gt; 3 Years</v>
      </c>
    </row>
    <row r="21" spans="6:9" x14ac:dyDescent="0.3">
      <c r="F21" s="2" t="str">
        <f t="shared" si="0"/>
        <v/>
      </c>
      <c r="I21" s="2" t="str">
        <f>IF(F21&gt;0,IF(Common_Control_Sheet!$B$5-C21&gt;1095,"&gt; 3 Years",IF(Common_Control_Sheet!$B$5-C21&gt;730,"2-3 Years",IF(Common_Control_Sheet!$B$5-C21&gt;365,"1-2 Years",IF(Common_Control_Sheet!$B$5-C21&gt;182,"182-365 Days","&lt; 182 Days")))),"")</f>
        <v>&gt; 3 Years</v>
      </c>
    </row>
    <row r="22" spans="6:9" x14ac:dyDescent="0.3">
      <c r="F22" s="2" t="str">
        <f t="shared" si="0"/>
        <v/>
      </c>
      <c r="I22" s="2" t="str">
        <f>IF(F22&gt;0,IF(Common_Control_Sheet!$B$5-C22&gt;1095,"&gt; 3 Years",IF(Common_Control_Sheet!$B$5-C22&gt;730,"2-3 Years",IF(Common_Control_Sheet!$B$5-C22&gt;365,"1-2 Years",IF(Common_Control_Sheet!$B$5-C22&gt;182,"182-365 Days","&lt; 182 Days")))),"")</f>
        <v>&gt; 3 Years</v>
      </c>
    </row>
    <row r="23" spans="6:9" x14ac:dyDescent="0.3">
      <c r="F23" s="2" t="str">
        <f t="shared" si="0"/>
        <v/>
      </c>
      <c r="I23" s="2" t="str">
        <f>IF(F23&gt;0,IF(Common_Control_Sheet!$B$5-C23&gt;1095,"&gt; 3 Years",IF(Common_Control_Sheet!$B$5-C23&gt;730,"2-3 Years",IF(Common_Control_Sheet!$B$5-C23&gt;365,"1-2 Years",IF(Common_Control_Sheet!$B$5-C23&gt;182,"182-365 Days","&lt; 182 Days")))),"")</f>
        <v>&gt; 3 Years</v>
      </c>
    </row>
    <row r="24" spans="6:9" x14ac:dyDescent="0.3">
      <c r="F24" s="2" t="str">
        <f t="shared" si="0"/>
        <v/>
      </c>
      <c r="I24" s="2" t="str">
        <f>IF(F24&gt;0,IF(Common_Control_Sheet!$B$5-C24&gt;1095,"&gt; 3 Years",IF(Common_Control_Sheet!$B$5-C24&gt;730,"2-3 Years",IF(Common_Control_Sheet!$B$5-C24&gt;365,"1-2 Years",IF(Common_Control_Sheet!$B$5-C24&gt;182,"182-365 Days","&lt; 182 Days")))),"")</f>
        <v>&gt; 3 Years</v>
      </c>
    </row>
    <row r="25" spans="6:9" x14ac:dyDescent="0.3">
      <c r="F25" s="2" t="str">
        <f t="shared" si="0"/>
        <v/>
      </c>
      <c r="I25" s="2" t="str">
        <f>IF(F25&gt;0,IF(Common_Control_Sheet!$B$5-C25&gt;1095,"&gt; 3 Years",IF(Common_Control_Sheet!$B$5-C25&gt;730,"2-3 Years",IF(Common_Control_Sheet!$B$5-C25&gt;365,"1-2 Years",IF(Common_Control_Sheet!$B$5-C25&gt;182,"182-365 Days","&lt; 182 Days")))),"")</f>
        <v>&gt; 3 Years</v>
      </c>
    </row>
    <row r="26" spans="6:9" x14ac:dyDescent="0.3">
      <c r="F26" s="2" t="str">
        <f t="shared" si="0"/>
        <v/>
      </c>
      <c r="I26" s="2" t="str">
        <f>IF(F26&gt;0,IF(Common_Control_Sheet!$B$5-C26&gt;1095,"&gt; 3 Years",IF(Common_Control_Sheet!$B$5-C26&gt;730,"2-3 Years",IF(Common_Control_Sheet!$B$5-C26&gt;365,"1-2 Years",IF(Common_Control_Sheet!$B$5-C26&gt;182,"182-365 Days","&lt; 182 Days")))),"")</f>
        <v>&gt; 3 Years</v>
      </c>
    </row>
    <row r="27" spans="6:9" x14ac:dyDescent="0.3">
      <c r="F27" s="2" t="str">
        <f t="shared" si="0"/>
        <v/>
      </c>
      <c r="I27" s="2" t="str">
        <f>IF(F27&gt;0,IF(Common_Control_Sheet!$B$5-C27&gt;1095,"&gt; 3 Years",IF(Common_Control_Sheet!$B$5-C27&gt;730,"2-3 Years",IF(Common_Control_Sheet!$B$5-C27&gt;365,"1-2 Years",IF(Common_Control_Sheet!$B$5-C27&gt;182,"182-365 Days","&lt; 182 Days")))),"")</f>
        <v>&gt; 3 Years</v>
      </c>
    </row>
    <row r="28" spans="6:9" x14ac:dyDescent="0.3">
      <c r="F28" s="2" t="str">
        <f t="shared" si="0"/>
        <v/>
      </c>
      <c r="I28" s="2" t="str">
        <f>IF(F28&gt;0,IF(Common_Control_Sheet!$B$5-C28&gt;1095,"&gt; 3 Years",IF(Common_Control_Sheet!$B$5-C28&gt;730,"2-3 Years",IF(Common_Control_Sheet!$B$5-C28&gt;365,"1-2 Years",IF(Common_Control_Sheet!$B$5-C28&gt;182,"182-365 Days","&lt; 182 Days")))),"")</f>
        <v>&gt; 3 Years</v>
      </c>
    </row>
    <row r="29" spans="6:9" x14ac:dyDescent="0.3">
      <c r="F29" s="2" t="str">
        <f t="shared" si="0"/>
        <v/>
      </c>
      <c r="I29" s="2" t="str">
        <f>IF(F29&gt;0,IF(Common_Control_Sheet!$B$5-C29&gt;1095,"&gt; 3 Years",IF(Common_Control_Sheet!$B$5-C29&gt;730,"2-3 Years",IF(Common_Control_Sheet!$B$5-C29&gt;365,"1-2 Years",IF(Common_Control_Sheet!$B$5-C29&gt;182,"182-365 Days","&lt; 182 Days")))),"")</f>
        <v>&gt; 3 Years</v>
      </c>
    </row>
    <row r="30" spans="6:9" x14ac:dyDescent="0.3">
      <c r="F30" s="2" t="str">
        <f t="shared" si="0"/>
        <v/>
      </c>
      <c r="I30" s="2" t="str">
        <f>IF(F30&gt;0,IF(Common_Control_Sheet!$B$5-C30&gt;1095,"&gt; 3 Years",IF(Common_Control_Sheet!$B$5-C30&gt;730,"2-3 Years",IF(Common_Control_Sheet!$B$5-C30&gt;365,"1-2 Years",IF(Common_Control_Sheet!$B$5-C30&gt;182,"182-365 Days","&lt; 182 Days")))),"")</f>
        <v>&gt; 3 Years</v>
      </c>
    </row>
    <row r="31" spans="6:9" x14ac:dyDescent="0.3">
      <c r="F31" s="2" t="str">
        <f t="shared" si="0"/>
        <v/>
      </c>
      <c r="I31" s="2" t="str">
        <f>IF(F31&gt;0,IF(Common_Control_Sheet!$B$5-C31&gt;1095,"&gt; 3 Years",IF(Common_Control_Sheet!$B$5-C31&gt;730,"2-3 Years",IF(Common_Control_Sheet!$B$5-C31&gt;365,"1-2 Years",IF(Common_Control_Sheet!$B$5-C31&gt;182,"182-365 Days","&lt; 182 Days")))),"")</f>
        <v>&gt; 3 Years</v>
      </c>
    </row>
    <row r="32" spans="6:9" x14ac:dyDescent="0.3">
      <c r="F32" s="2" t="str">
        <f t="shared" si="0"/>
        <v/>
      </c>
      <c r="I32" s="2" t="str">
        <f>IF(F32&gt;0,IF(Common_Control_Sheet!$B$5-C32&gt;1095,"&gt; 3 Years",IF(Common_Control_Sheet!$B$5-C32&gt;730,"2-3 Years",IF(Common_Control_Sheet!$B$5-C32&gt;365,"1-2 Years",IF(Common_Control_Sheet!$B$5-C32&gt;182,"182-365 Days","&lt; 182 Days")))),"")</f>
        <v>&gt; 3 Years</v>
      </c>
    </row>
    <row r="33" spans="6:9" x14ac:dyDescent="0.3">
      <c r="F33" s="2" t="str">
        <f t="shared" si="0"/>
        <v/>
      </c>
      <c r="I33" s="2" t="str">
        <f>IF(F33&gt;0,IF(Common_Control_Sheet!$B$5-C33&gt;1095,"&gt; 3 Years",IF(Common_Control_Sheet!$B$5-C33&gt;730,"2-3 Years",IF(Common_Control_Sheet!$B$5-C33&gt;365,"1-2 Years",IF(Common_Control_Sheet!$B$5-C33&gt;182,"182-365 Days","&lt; 182 Days")))),"")</f>
        <v>&gt; 3 Years</v>
      </c>
    </row>
    <row r="34" spans="6:9" x14ac:dyDescent="0.3">
      <c r="F34" s="2" t="str">
        <f t="shared" ref="F34:F51" si="1">IF(D34&lt;&gt;"",D34-E34,"")</f>
        <v/>
      </c>
      <c r="I34" s="2" t="str">
        <f>IF(F34&gt;0,IF(Common_Control_Sheet!$B$5-C34&gt;1095,"&gt; 3 Years",IF(Common_Control_Sheet!$B$5-C34&gt;730,"2-3 Years",IF(Common_Control_Sheet!$B$5-C34&gt;365,"1-2 Years",IF(Common_Control_Sheet!$B$5-C34&gt;182,"182-365 Days","&lt; 182 Days")))),"")</f>
        <v>&gt; 3 Years</v>
      </c>
    </row>
    <row r="35" spans="6:9" x14ac:dyDescent="0.3">
      <c r="F35" s="2" t="str">
        <f t="shared" si="1"/>
        <v/>
      </c>
      <c r="I35" s="2" t="str">
        <f>IF(F35&gt;0,IF(Common_Control_Sheet!$B$5-C35&gt;1095,"&gt; 3 Years",IF(Common_Control_Sheet!$B$5-C35&gt;730,"2-3 Years",IF(Common_Control_Sheet!$B$5-C35&gt;365,"1-2 Years",IF(Common_Control_Sheet!$B$5-C35&gt;182,"182-365 Days","&lt; 182 Days")))),"")</f>
        <v>&gt; 3 Years</v>
      </c>
    </row>
    <row r="36" spans="6:9" x14ac:dyDescent="0.3">
      <c r="F36" s="2" t="str">
        <f t="shared" si="1"/>
        <v/>
      </c>
      <c r="I36" s="2" t="str">
        <f>IF(F36&gt;0,IF(Common_Control_Sheet!$B$5-C36&gt;1095,"&gt; 3 Years",IF(Common_Control_Sheet!$B$5-C36&gt;730,"2-3 Years",IF(Common_Control_Sheet!$B$5-C36&gt;365,"1-2 Years",IF(Common_Control_Sheet!$B$5-C36&gt;182,"182-365 Days","&lt; 182 Days")))),"")</f>
        <v>&gt; 3 Years</v>
      </c>
    </row>
    <row r="37" spans="6:9" x14ac:dyDescent="0.3">
      <c r="F37" s="2" t="str">
        <f t="shared" si="1"/>
        <v/>
      </c>
      <c r="I37" s="2" t="str">
        <f>IF(F37&gt;0,IF(Common_Control_Sheet!$B$5-C37&gt;1095,"&gt; 3 Years",IF(Common_Control_Sheet!$B$5-C37&gt;730,"2-3 Years",IF(Common_Control_Sheet!$B$5-C37&gt;365,"1-2 Years",IF(Common_Control_Sheet!$B$5-C37&gt;182,"182-365 Days","&lt; 182 Days")))),"")</f>
        <v>&gt; 3 Years</v>
      </c>
    </row>
    <row r="38" spans="6:9" x14ac:dyDescent="0.3">
      <c r="F38" s="2" t="str">
        <f t="shared" si="1"/>
        <v/>
      </c>
      <c r="I38" s="2" t="str">
        <f>IF(F38&gt;0,IF(Common_Control_Sheet!$B$5-C38&gt;1095,"&gt; 3 Years",IF(Common_Control_Sheet!$B$5-C38&gt;730,"2-3 Years",IF(Common_Control_Sheet!$B$5-C38&gt;365,"1-2 Years",IF(Common_Control_Sheet!$B$5-C38&gt;182,"182-365 Days","&lt; 182 Days")))),"")</f>
        <v>&gt; 3 Years</v>
      </c>
    </row>
    <row r="39" spans="6:9" x14ac:dyDescent="0.3">
      <c r="F39" s="2" t="str">
        <f t="shared" si="1"/>
        <v/>
      </c>
      <c r="I39" s="2" t="str">
        <f>IF(F39&gt;0,IF(Common_Control_Sheet!$B$5-C39&gt;1095,"&gt; 3 Years",IF(Common_Control_Sheet!$B$5-C39&gt;730,"2-3 Years",IF(Common_Control_Sheet!$B$5-C39&gt;365,"1-2 Years",IF(Common_Control_Sheet!$B$5-C39&gt;182,"182-365 Days","&lt; 182 Days")))),"")</f>
        <v>&gt; 3 Years</v>
      </c>
    </row>
    <row r="40" spans="6:9" x14ac:dyDescent="0.3">
      <c r="F40" s="2" t="str">
        <f t="shared" si="1"/>
        <v/>
      </c>
      <c r="I40" s="2" t="str">
        <f>IF(F40&gt;0,IF(Common_Control_Sheet!$B$5-C40&gt;1095,"&gt; 3 Years",IF(Common_Control_Sheet!$B$5-C40&gt;730,"2-3 Years",IF(Common_Control_Sheet!$B$5-C40&gt;365,"1-2 Years",IF(Common_Control_Sheet!$B$5-C40&gt;182,"182-365 Days","&lt; 182 Days")))),"")</f>
        <v>&gt; 3 Years</v>
      </c>
    </row>
    <row r="41" spans="6:9" x14ac:dyDescent="0.3">
      <c r="F41" s="2" t="str">
        <f t="shared" si="1"/>
        <v/>
      </c>
      <c r="I41" s="2" t="str">
        <f>IF(F41&gt;0,IF(Common_Control_Sheet!$B$5-C41&gt;1095,"&gt; 3 Years",IF(Common_Control_Sheet!$B$5-C41&gt;730,"2-3 Years",IF(Common_Control_Sheet!$B$5-C41&gt;365,"1-2 Years",IF(Common_Control_Sheet!$B$5-C41&gt;182,"182-365 Days","&lt; 182 Days")))),"")</f>
        <v>&gt; 3 Years</v>
      </c>
    </row>
    <row r="42" spans="6:9" x14ac:dyDescent="0.3">
      <c r="F42" s="2" t="str">
        <f t="shared" si="1"/>
        <v/>
      </c>
      <c r="I42" s="2" t="str">
        <f>IF(F42&gt;0,IF(Common_Control_Sheet!$B$5-C42&gt;1095,"&gt; 3 Years",IF(Common_Control_Sheet!$B$5-C42&gt;730,"2-3 Years",IF(Common_Control_Sheet!$B$5-C42&gt;365,"1-2 Years",IF(Common_Control_Sheet!$B$5-C42&gt;182,"182-365 Days","&lt; 182 Days")))),"")</f>
        <v>&gt; 3 Years</v>
      </c>
    </row>
    <row r="43" spans="6:9" x14ac:dyDescent="0.3">
      <c r="F43" s="2" t="str">
        <f t="shared" si="1"/>
        <v/>
      </c>
      <c r="I43" s="2" t="str">
        <f>IF(F43&gt;0,IF(Common_Control_Sheet!$B$5-C43&gt;1095,"&gt; 3 Years",IF(Common_Control_Sheet!$B$5-C43&gt;730,"2-3 Years",IF(Common_Control_Sheet!$B$5-C43&gt;365,"1-2 Years",IF(Common_Control_Sheet!$B$5-C43&gt;182,"182-365 Days","&lt; 182 Days")))),"")</f>
        <v>&gt; 3 Years</v>
      </c>
    </row>
    <row r="44" spans="6:9" x14ac:dyDescent="0.3">
      <c r="F44" s="2" t="str">
        <f t="shared" si="1"/>
        <v/>
      </c>
      <c r="I44" s="2" t="str">
        <f>IF(F44&gt;0,IF(Common_Control_Sheet!$B$5-C44&gt;1095,"&gt; 3 Years",IF(Common_Control_Sheet!$B$5-C44&gt;730,"2-3 Years",IF(Common_Control_Sheet!$B$5-C44&gt;365,"1-2 Years",IF(Common_Control_Sheet!$B$5-C44&gt;182,"182-365 Days","&lt; 182 Days")))),"")</f>
        <v>&gt; 3 Years</v>
      </c>
    </row>
    <row r="45" spans="6:9" x14ac:dyDescent="0.3">
      <c r="F45" s="2" t="str">
        <f t="shared" si="1"/>
        <v/>
      </c>
      <c r="I45" s="2" t="str">
        <f>IF(F45&gt;0,IF(Common_Control_Sheet!$B$5-C45&gt;1095,"&gt; 3 Years",IF(Common_Control_Sheet!$B$5-C45&gt;730,"2-3 Years",IF(Common_Control_Sheet!$B$5-C45&gt;365,"1-2 Years",IF(Common_Control_Sheet!$B$5-C45&gt;182,"182-365 Days","&lt; 182 Days")))),"")</f>
        <v>&gt; 3 Years</v>
      </c>
    </row>
    <row r="46" spans="6:9" x14ac:dyDescent="0.3">
      <c r="F46" s="2" t="str">
        <f t="shared" si="1"/>
        <v/>
      </c>
      <c r="I46" s="2" t="str">
        <f>IF(F46&gt;0,IF(Common_Control_Sheet!$B$5-C46&gt;1095,"&gt; 3 Years",IF(Common_Control_Sheet!$B$5-C46&gt;730,"2-3 Years",IF(Common_Control_Sheet!$B$5-C46&gt;365,"1-2 Years",IF(Common_Control_Sheet!$B$5-C46&gt;182,"182-365 Days","&lt; 182 Days")))),"")</f>
        <v>&gt; 3 Years</v>
      </c>
    </row>
    <row r="47" spans="6:9" x14ac:dyDescent="0.3">
      <c r="F47" s="2" t="str">
        <f t="shared" si="1"/>
        <v/>
      </c>
      <c r="I47" s="2" t="str">
        <f>IF(F47&gt;0,IF(Common_Control_Sheet!$B$5-C47&gt;1095,"&gt; 3 Years",IF(Common_Control_Sheet!$B$5-C47&gt;730,"2-3 Years",IF(Common_Control_Sheet!$B$5-C47&gt;365,"1-2 Years",IF(Common_Control_Sheet!$B$5-C47&gt;182,"182-365 Days","&lt; 182 Days")))),"")</f>
        <v>&gt; 3 Years</v>
      </c>
    </row>
    <row r="48" spans="6:9" x14ac:dyDescent="0.3">
      <c r="F48" s="2" t="str">
        <f t="shared" si="1"/>
        <v/>
      </c>
      <c r="I48" s="2" t="str">
        <f>IF(F48&gt;0,IF(Common_Control_Sheet!$B$5-C48&gt;1095,"&gt; 3 Years",IF(Common_Control_Sheet!$B$5-C48&gt;730,"2-3 Years",IF(Common_Control_Sheet!$B$5-C48&gt;365,"1-2 Years",IF(Common_Control_Sheet!$B$5-C48&gt;182,"182-365 Days","&lt; 182 Days")))),"")</f>
        <v>&gt; 3 Years</v>
      </c>
    </row>
    <row r="49" spans="6:9" x14ac:dyDescent="0.3">
      <c r="F49" s="2" t="str">
        <f t="shared" si="1"/>
        <v/>
      </c>
      <c r="I49" s="2" t="str">
        <f>IF(F49&gt;0,IF(Common_Control_Sheet!$B$5-C49&gt;1095,"&gt; 3 Years",IF(Common_Control_Sheet!$B$5-C49&gt;730,"2-3 Years",IF(Common_Control_Sheet!$B$5-C49&gt;365,"1-2 Years",IF(Common_Control_Sheet!$B$5-C49&gt;182,"182-365 Days","&lt; 182 Days")))),"")</f>
        <v>&gt; 3 Years</v>
      </c>
    </row>
    <row r="50" spans="6:9" x14ac:dyDescent="0.3">
      <c r="F50" s="2" t="str">
        <f t="shared" si="1"/>
        <v/>
      </c>
      <c r="I50" s="2" t="str">
        <f>IF(F50&gt;0,IF(Common_Control_Sheet!$B$5-C50&gt;1095,"&gt; 3 Years",IF(Common_Control_Sheet!$B$5-C50&gt;730,"2-3 Years",IF(Common_Control_Sheet!$B$5-C50&gt;365,"1-2 Years",IF(Common_Control_Sheet!$B$5-C50&gt;182,"182-365 Days","&lt; 182 Days")))),"")</f>
        <v>&gt; 3 Years</v>
      </c>
    </row>
    <row r="51" spans="6:9" x14ac:dyDescent="0.3">
      <c r="F51" s="2" t="str">
        <f t="shared" si="1"/>
        <v/>
      </c>
      <c r="I51" s="2" t="str">
        <f>IF(F51&gt;0,IF(Common_Control_Sheet!$B$5-C51&gt;1095,"&gt; 3 Years",IF(Common_Control_Sheet!$B$5-C51&gt;730,"2-3 Years",IF(Common_Control_Sheet!$B$5-C51&gt;365,"1-2 Years",IF(Common_Control_Sheet!$B$5-C51&gt;182,"182-365 Days","&lt; 182 Days")))),"")</f>
        <v>&gt; 3 Years</v>
      </c>
    </row>
  </sheetData>
  <dataValidations count="2">
    <dataValidation type="list" allowBlank="1" showInputMessage="1" showErrorMessage="1" sqref="G2:G51" xr:uid="{39386BE4-B65A-4EDB-B597-5B686E8932A1}">
      <formula1>"Yes,No"</formula1>
    </dataValidation>
    <dataValidation type="list" allowBlank="1" showInputMessage="1" showErrorMessage="1" sqref="H2:H51" xr:uid="{9364C505-F5E6-4B65-961C-A5E7332B1F8D}">
      <formula1>"MSME,Other"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420CE-85A7-444D-BC5B-1143309C1AFE}">
  <sheetPr codeName="Sheet174"/>
  <dimension ref="A1:G69"/>
  <sheetViews>
    <sheetView tabSelected="1" workbookViewId="0">
      <selection activeCell="E1" sqref="E1"/>
    </sheetView>
  </sheetViews>
  <sheetFormatPr defaultRowHeight="14" x14ac:dyDescent="0.3"/>
  <cols>
    <col min="1" max="1" width="8.08984375" style="2" bestFit="1" customWidth="1"/>
    <col min="2" max="2" width="60.6328125" style="2" customWidth="1"/>
    <col min="3" max="3" width="27" style="2" bestFit="1" customWidth="1"/>
    <col min="4" max="4" width="15.6328125" style="2" bestFit="1" customWidth="1"/>
    <col min="5" max="5" width="17.6328125" style="2" bestFit="1" customWidth="1"/>
    <col min="6" max="6" width="9.54296875" style="2" bestFit="1" customWidth="1"/>
    <col min="7" max="7" width="12.36328125" style="2" bestFit="1" customWidth="1"/>
    <col min="8" max="16384" width="8.7265625" style="2"/>
  </cols>
  <sheetData>
    <row r="1" spans="1:7" x14ac:dyDescent="0.3">
      <c r="A1" s="1" t="s">
        <v>201</v>
      </c>
      <c r="B1" s="1" t="s">
        <v>202</v>
      </c>
      <c r="C1" s="1" t="s">
        <v>203</v>
      </c>
      <c r="D1" s="1" t="s">
        <v>204</v>
      </c>
      <c r="E1" s="1" t="s">
        <v>205</v>
      </c>
      <c r="F1" s="1" t="s">
        <v>206</v>
      </c>
      <c r="G1" s="1" t="s">
        <v>207</v>
      </c>
    </row>
    <row r="2" spans="1:7" s="1" customFormat="1" x14ac:dyDescent="0.3">
      <c r="A2" s="1" t="s">
        <v>208</v>
      </c>
      <c r="B2" s="1" t="s">
        <v>209</v>
      </c>
      <c r="D2" s="1" t="s">
        <v>425</v>
      </c>
      <c r="E2" s="2" t="s">
        <v>768</v>
      </c>
      <c r="F2" s="1" t="str">
        <f t="shared" ref="F2:F33" si="0">IF(E2="Yes","Yes",IF(AND(E2="",D2="Yes"),"Yes","No"))</f>
        <v>Yes</v>
      </c>
    </row>
    <row r="3" spans="1:7" x14ac:dyDescent="0.3">
      <c r="A3" s="2" t="s">
        <v>210</v>
      </c>
      <c r="B3" s="2" t="s">
        <v>211</v>
      </c>
      <c r="D3" s="2" t="s">
        <v>425</v>
      </c>
      <c r="E3" s="2" t="s">
        <v>768</v>
      </c>
      <c r="F3" s="2" t="str">
        <f t="shared" si="0"/>
        <v>Yes</v>
      </c>
    </row>
    <row r="4" spans="1:7" x14ac:dyDescent="0.3">
      <c r="A4" s="2" t="s">
        <v>212</v>
      </c>
      <c r="B4" s="2" t="s">
        <v>213</v>
      </c>
      <c r="D4" s="2" t="s">
        <v>425</v>
      </c>
      <c r="E4" s="2" t="s">
        <v>768</v>
      </c>
      <c r="F4" s="2" t="str">
        <f t="shared" si="0"/>
        <v>Yes</v>
      </c>
    </row>
    <row r="5" spans="1:7" x14ac:dyDescent="0.3">
      <c r="A5" s="2" t="s">
        <v>214</v>
      </c>
      <c r="B5" s="2" t="s">
        <v>75</v>
      </c>
      <c r="C5" s="2" t="s">
        <v>44</v>
      </c>
      <c r="D5" s="2" t="s">
        <v>425</v>
      </c>
      <c r="E5" s="2" t="s">
        <v>768</v>
      </c>
      <c r="F5" s="2" t="str">
        <f t="shared" si="0"/>
        <v>Yes</v>
      </c>
    </row>
    <row r="6" spans="1:7" x14ac:dyDescent="0.3">
      <c r="A6" s="2" t="s">
        <v>215</v>
      </c>
      <c r="B6" s="2" t="s">
        <v>216</v>
      </c>
      <c r="C6" s="2" t="s">
        <v>23</v>
      </c>
      <c r="D6" s="2" t="s">
        <v>425</v>
      </c>
      <c r="E6" s="2" t="s">
        <v>768</v>
      </c>
      <c r="F6" s="2" t="str">
        <f t="shared" si="0"/>
        <v>Yes</v>
      </c>
    </row>
    <row r="7" spans="1:7" x14ac:dyDescent="0.3">
      <c r="A7" s="2" t="s">
        <v>217</v>
      </c>
      <c r="B7" s="2" t="s">
        <v>218</v>
      </c>
      <c r="C7" s="2" t="s">
        <v>24</v>
      </c>
      <c r="D7" s="2" t="s">
        <v>425</v>
      </c>
      <c r="E7" s="2" t="s">
        <v>768</v>
      </c>
      <c r="F7" s="2" t="str">
        <f t="shared" si="0"/>
        <v>Yes</v>
      </c>
    </row>
    <row r="8" spans="1:7" x14ac:dyDescent="0.3">
      <c r="A8" s="2" t="s">
        <v>219</v>
      </c>
      <c r="B8" s="2" t="s">
        <v>78</v>
      </c>
      <c r="D8" s="2" t="s">
        <v>425</v>
      </c>
      <c r="E8" s="2" t="s">
        <v>768</v>
      </c>
      <c r="F8" s="2" t="str">
        <f t="shared" si="0"/>
        <v>Yes</v>
      </c>
    </row>
    <row r="9" spans="1:7" x14ac:dyDescent="0.3">
      <c r="A9" s="2" t="s">
        <v>220</v>
      </c>
      <c r="B9" s="2" t="s">
        <v>221</v>
      </c>
      <c r="C9" s="2" t="s">
        <v>29</v>
      </c>
      <c r="D9" s="2" t="s">
        <v>425</v>
      </c>
      <c r="E9" s="2" t="s">
        <v>768</v>
      </c>
      <c r="F9" s="2" t="str">
        <f t="shared" si="0"/>
        <v>Yes</v>
      </c>
    </row>
    <row r="10" spans="1:7" x14ac:dyDescent="0.3">
      <c r="A10" s="2" t="s">
        <v>222</v>
      </c>
      <c r="B10" s="2" t="s">
        <v>223</v>
      </c>
      <c r="C10" s="2" t="s">
        <v>25</v>
      </c>
      <c r="D10" s="2" t="s">
        <v>425</v>
      </c>
      <c r="E10" s="2" t="s">
        <v>768</v>
      </c>
      <c r="F10" s="2" t="str">
        <f t="shared" si="0"/>
        <v>Yes</v>
      </c>
    </row>
    <row r="11" spans="1:7" x14ac:dyDescent="0.3">
      <c r="A11" s="2" t="s">
        <v>224</v>
      </c>
      <c r="B11" s="2" t="s">
        <v>225</v>
      </c>
      <c r="D11" s="2" t="s">
        <v>425</v>
      </c>
      <c r="E11" s="2" t="s">
        <v>768</v>
      </c>
      <c r="F11" s="2" t="str">
        <f t="shared" si="0"/>
        <v>Yes</v>
      </c>
    </row>
    <row r="12" spans="1:7" x14ac:dyDescent="0.3">
      <c r="A12" s="2" t="s">
        <v>226</v>
      </c>
      <c r="B12" s="2" t="s">
        <v>82</v>
      </c>
      <c r="C12" s="2" t="s">
        <v>49</v>
      </c>
      <c r="D12" s="2" t="s">
        <v>425</v>
      </c>
      <c r="E12" s="2" t="s">
        <v>768</v>
      </c>
      <c r="F12" s="2" t="str">
        <f t="shared" si="0"/>
        <v>Yes</v>
      </c>
    </row>
    <row r="13" spans="1:7" x14ac:dyDescent="0.3">
      <c r="A13" s="2" t="s">
        <v>227</v>
      </c>
      <c r="B13" s="2" t="s">
        <v>228</v>
      </c>
      <c r="C13" s="2" t="s">
        <v>50</v>
      </c>
      <c r="D13" s="2" t="s">
        <v>425</v>
      </c>
      <c r="E13" s="2" t="s">
        <v>768</v>
      </c>
      <c r="F13" s="2" t="str">
        <f t="shared" si="0"/>
        <v>Yes</v>
      </c>
    </row>
    <row r="14" spans="1:7" x14ac:dyDescent="0.3">
      <c r="A14" s="2" t="s">
        <v>229</v>
      </c>
      <c r="B14" s="2" t="s">
        <v>230</v>
      </c>
      <c r="C14" s="2" t="s">
        <v>39</v>
      </c>
      <c r="D14" s="2" t="s">
        <v>425</v>
      </c>
      <c r="E14" s="2" t="s">
        <v>768</v>
      </c>
      <c r="F14" s="2" t="str">
        <f t="shared" si="0"/>
        <v>Yes</v>
      </c>
    </row>
    <row r="15" spans="1:7" x14ac:dyDescent="0.3">
      <c r="A15" s="2" t="s">
        <v>231</v>
      </c>
      <c r="B15" s="2" t="s">
        <v>232</v>
      </c>
      <c r="C15" s="2" t="s">
        <v>55</v>
      </c>
      <c r="D15" s="2" t="s">
        <v>425</v>
      </c>
      <c r="E15" s="2" t="s">
        <v>768</v>
      </c>
      <c r="F15" s="2" t="str">
        <f t="shared" si="0"/>
        <v>Yes</v>
      </c>
    </row>
    <row r="16" spans="1:7" x14ac:dyDescent="0.3">
      <c r="A16" s="2" t="s">
        <v>233</v>
      </c>
      <c r="B16" s="2" t="s">
        <v>86</v>
      </c>
      <c r="D16" s="2" t="s">
        <v>425</v>
      </c>
      <c r="E16" s="2" t="s">
        <v>768</v>
      </c>
      <c r="F16" s="2" t="str">
        <f t="shared" si="0"/>
        <v>Yes</v>
      </c>
    </row>
    <row r="17" spans="1:6" x14ac:dyDescent="0.3">
      <c r="A17" s="2" t="s">
        <v>234</v>
      </c>
      <c r="B17" s="2" t="s">
        <v>235</v>
      </c>
      <c r="D17" s="2" t="s">
        <v>425</v>
      </c>
      <c r="E17" s="2" t="s">
        <v>768</v>
      </c>
      <c r="F17" s="2" t="str">
        <f t="shared" si="0"/>
        <v>Yes</v>
      </c>
    </row>
    <row r="18" spans="1:6" x14ac:dyDescent="0.3">
      <c r="A18" s="2" t="s">
        <v>236</v>
      </c>
      <c r="B18" s="2" t="s">
        <v>237</v>
      </c>
      <c r="D18" s="2" t="s">
        <v>425</v>
      </c>
      <c r="E18" s="2" t="s">
        <v>768</v>
      </c>
      <c r="F18" s="2" t="str">
        <f t="shared" si="0"/>
        <v>Yes</v>
      </c>
    </row>
    <row r="19" spans="1:6" x14ac:dyDescent="0.3">
      <c r="A19" s="2" t="s">
        <v>238</v>
      </c>
      <c r="B19" s="2" t="s">
        <v>239</v>
      </c>
      <c r="D19" s="2" t="s">
        <v>425</v>
      </c>
      <c r="E19" s="2" t="s">
        <v>768</v>
      </c>
      <c r="F19" s="2" t="str">
        <f t="shared" si="0"/>
        <v>Yes</v>
      </c>
    </row>
    <row r="20" spans="1:6" x14ac:dyDescent="0.3">
      <c r="A20" s="2" t="s">
        <v>240</v>
      </c>
      <c r="B20" s="2" t="s">
        <v>241</v>
      </c>
      <c r="C20" s="2" t="s">
        <v>31</v>
      </c>
      <c r="D20" s="2" t="s">
        <v>425</v>
      </c>
      <c r="E20" s="2" t="s">
        <v>768</v>
      </c>
      <c r="F20" s="2" t="str">
        <f t="shared" si="0"/>
        <v>Yes</v>
      </c>
    </row>
    <row r="21" spans="1:6" s="1" customFormat="1" x14ac:dyDescent="0.3">
      <c r="A21" s="1" t="s">
        <v>242</v>
      </c>
      <c r="B21" s="1" t="s">
        <v>243</v>
      </c>
      <c r="D21" s="1" t="s">
        <v>425</v>
      </c>
      <c r="E21" s="2" t="s">
        <v>768</v>
      </c>
      <c r="F21" s="1" t="str">
        <f t="shared" si="0"/>
        <v>Yes</v>
      </c>
    </row>
    <row r="22" spans="1:6" x14ac:dyDescent="0.3">
      <c r="A22" s="2" t="s">
        <v>244</v>
      </c>
      <c r="B22" s="2" t="s">
        <v>245</v>
      </c>
      <c r="C22" s="2" t="s">
        <v>34</v>
      </c>
      <c r="D22" s="2" t="s">
        <v>425</v>
      </c>
      <c r="E22" s="2" t="s">
        <v>768</v>
      </c>
      <c r="F22" s="2" t="str">
        <f t="shared" si="0"/>
        <v>Yes</v>
      </c>
    </row>
    <row r="23" spans="1:6" x14ac:dyDescent="0.3">
      <c r="A23" s="2" t="s">
        <v>246</v>
      </c>
      <c r="B23" s="2" t="s">
        <v>247</v>
      </c>
      <c r="C23" s="2" t="s">
        <v>35</v>
      </c>
      <c r="D23" s="2" t="s">
        <v>425</v>
      </c>
      <c r="E23" s="2" t="s">
        <v>768</v>
      </c>
      <c r="F23" s="2" t="str">
        <f t="shared" si="0"/>
        <v>Yes</v>
      </c>
    </row>
    <row r="24" spans="1:6" x14ac:dyDescent="0.3">
      <c r="A24" s="2" t="s">
        <v>248</v>
      </c>
      <c r="B24" s="2" t="s">
        <v>249</v>
      </c>
      <c r="C24" s="2" t="s">
        <v>36</v>
      </c>
      <c r="D24" s="2" t="s">
        <v>425</v>
      </c>
      <c r="E24" s="2" t="s">
        <v>768</v>
      </c>
      <c r="F24" s="2" t="str">
        <f t="shared" si="0"/>
        <v>Yes</v>
      </c>
    </row>
    <row r="25" spans="1:6" x14ac:dyDescent="0.3">
      <c r="A25" s="2" t="s">
        <v>250</v>
      </c>
      <c r="B25" s="2" t="s">
        <v>251</v>
      </c>
      <c r="C25" s="2" t="s">
        <v>41</v>
      </c>
      <c r="D25" s="2" t="s">
        <v>425</v>
      </c>
      <c r="E25" s="2" t="s">
        <v>768</v>
      </c>
      <c r="F25" s="2" t="str">
        <f t="shared" si="0"/>
        <v>Yes</v>
      </c>
    </row>
    <row r="26" spans="1:6" x14ac:dyDescent="0.3">
      <c r="A26" s="2" t="s">
        <v>252</v>
      </c>
      <c r="B26" s="2" t="s">
        <v>253</v>
      </c>
      <c r="C26" s="2" t="s">
        <v>42</v>
      </c>
      <c r="D26" s="2" t="s">
        <v>425</v>
      </c>
      <c r="E26" s="2" t="s">
        <v>768</v>
      </c>
      <c r="F26" s="2" t="str">
        <f t="shared" si="0"/>
        <v>Yes</v>
      </c>
    </row>
    <row r="27" spans="1:6" x14ac:dyDescent="0.3">
      <c r="A27" s="2" t="s">
        <v>254</v>
      </c>
      <c r="B27" s="2" t="s">
        <v>255</v>
      </c>
      <c r="C27" s="2" t="s">
        <v>38</v>
      </c>
      <c r="D27" s="2" t="s">
        <v>425</v>
      </c>
      <c r="E27" s="2" t="s">
        <v>768</v>
      </c>
      <c r="F27" s="2" t="str">
        <f t="shared" si="0"/>
        <v>Yes</v>
      </c>
    </row>
    <row r="28" spans="1:6" x14ac:dyDescent="0.3">
      <c r="A28" s="2" t="s">
        <v>256</v>
      </c>
      <c r="B28" s="2" t="s">
        <v>257</v>
      </c>
      <c r="C28" s="2" t="s">
        <v>39</v>
      </c>
      <c r="D28" s="2" t="s">
        <v>425</v>
      </c>
      <c r="E28" s="2" t="s">
        <v>768</v>
      </c>
      <c r="F28" s="2" t="str">
        <f t="shared" si="0"/>
        <v>Yes</v>
      </c>
    </row>
    <row r="29" spans="1:6" s="1" customFormat="1" x14ac:dyDescent="0.3">
      <c r="A29" s="1" t="s">
        <v>258</v>
      </c>
      <c r="B29" s="1" t="s">
        <v>259</v>
      </c>
      <c r="D29" s="1" t="s">
        <v>425</v>
      </c>
      <c r="E29" s="2" t="s">
        <v>768</v>
      </c>
      <c r="F29" s="1" t="str">
        <f t="shared" si="0"/>
        <v>Yes</v>
      </c>
    </row>
    <row r="30" spans="1:6" x14ac:dyDescent="0.3">
      <c r="A30" s="2" t="s">
        <v>260</v>
      </c>
      <c r="B30" s="2" t="s">
        <v>261</v>
      </c>
      <c r="C30" s="2" t="s">
        <v>23</v>
      </c>
      <c r="D30" s="2" t="s">
        <v>425</v>
      </c>
      <c r="E30" s="2" t="s">
        <v>768</v>
      </c>
      <c r="F30" s="2" t="str">
        <f t="shared" si="0"/>
        <v>Yes</v>
      </c>
    </row>
    <row r="31" spans="1:6" x14ac:dyDescent="0.3">
      <c r="A31" s="2" t="s">
        <v>262</v>
      </c>
      <c r="B31" s="2" t="s">
        <v>263</v>
      </c>
      <c r="D31" s="2" t="s">
        <v>425</v>
      </c>
      <c r="E31" s="2" t="s">
        <v>768</v>
      </c>
      <c r="F31" s="2" t="str">
        <f t="shared" si="0"/>
        <v>Yes</v>
      </c>
    </row>
    <row r="32" spans="1:6" x14ac:dyDescent="0.3">
      <c r="A32" s="2" t="s">
        <v>264</v>
      </c>
      <c r="B32" s="2" t="s">
        <v>265</v>
      </c>
      <c r="C32" s="2" t="s">
        <v>24</v>
      </c>
      <c r="D32" s="2" t="s">
        <v>425</v>
      </c>
      <c r="E32" s="2" t="s">
        <v>768</v>
      </c>
      <c r="F32" s="2" t="str">
        <f t="shared" si="0"/>
        <v>Yes</v>
      </c>
    </row>
    <row r="33" spans="1:6" x14ac:dyDescent="0.3">
      <c r="A33" s="2" t="s">
        <v>266</v>
      </c>
      <c r="B33" s="2" t="s">
        <v>80</v>
      </c>
      <c r="C33" s="2" t="s">
        <v>25</v>
      </c>
      <c r="D33" s="2" t="s">
        <v>425</v>
      </c>
      <c r="E33" s="2" t="s">
        <v>768</v>
      </c>
      <c r="F33" s="2" t="str">
        <f t="shared" si="0"/>
        <v>Yes</v>
      </c>
    </row>
    <row r="34" spans="1:6" x14ac:dyDescent="0.3">
      <c r="A34" s="2" t="s">
        <v>267</v>
      </c>
      <c r="B34" s="2" t="s">
        <v>268</v>
      </c>
      <c r="C34" s="2" t="s">
        <v>29</v>
      </c>
      <c r="D34" s="2" t="s">
        <v>425</v>
      </c>
      <c r="E34" s="2" t="s">
        <v>768</v>
      </c>
      <c r="F34" s="2" t="str">
        <f t="shared" ref="F34:F65" si="1">IF(E34="Yes","Yes",IF(AND(E34="",D34="Yes"),"Yes","No"))</f>
        <v>Yes</v>
      </c>
    </row>
    <row r="35" spans="1:6" x14ac:dyDescent="0.3">
      <c r="A35" s="2" t="s">
        <v>269</v>
      </c>
      <c r="B35" s="2" t="s">
        <v>270</v>
      </c>
      <c r="C35" s="2" t="s">
        <v>30</v>
      </c>
      <c r="D35" s="2" t="s">
        <v>425</v>
      </c>
      <c r="E35" s="2" t="s">
        <v>768</v>
      </c>
      <c r="F35" s="2" t="str">
        <f t="shared" si="1"/>
        <v>Yes</v>
      </c>
    </row>
    <row r="36" spans="1:6" x14ac:dyDescent="0.3">
      <c r="A36" s="2" t="s">
        <v>271</v>
      </c>
      <c r="B36" s="2" t="s">
        <v>272</v>
      </c>
      <c r="C36" s="2" t="s">
        <v>31</v>
      </c>
      <c r="D36" s="2" t="s">
        <v>425</v>
      </c>
      <c r="E36" s="2" t="s">
        <v>768</v>
      </c>
      <c r="F36" s="2" t="str">
        <f t="shared" si="1"/>
        <v>Yes</v>
      </c>
    </row>
    <row r="37" spans="1:6" x14ac:dyDescent="0.3">
      <c r="A37" s="2" t="s">
        <v>273</v>
      </c>
      <c r="B37" s="2" t="s">
        <v>274</v>
      </c>
      <c r="C37" s="2" t="s">
        <v>26</v>
      </c>
      <c r="D37" s="2" t="s">
        <v>425</v>
      </c>
      <c r="E37" s="2" t="s">
        <v>768</v>
      </c>
      <c r="F37" s="2" t="str">
        <f t="shared" si="1"/>
        <v>Yes</v>
      </c>
    </row>
    <row r="38" spans="1:6" s="1" customFormat="1" x14ac:dyDescent="0.3">
      <c r="A38" s="1" t="s">
        <v>275</v>
      </c>
      <c r="B38" s="1" t="s">
        <v>276</v>
      </c>
      <c r="D38" s="1" t="s">
        <v>425</v>
      </c>
      <c r="E38" s="2" t="s">
        <v>768</v>
      </c>
      <c r="F38" s="1" t="str">
        <f t="shared" si="1"/>
        <v>Yes</v>
      </c>
    </row>
    <row r="39" spans="1:6" x14ac:dyDescent="0.3">
      <c r="A39" s="2" t="s">
        <v>277</v>
      </c>
      <c r="B39" s="2" t="s">
        <v>278</v>
      </c>
      <c r="C39" s="2" t="s">
        <v>44</v>
      </c>
      <c r="D39" s="2" t="s">
        <v>425</v>
      </c>
      <c r="E39" s="2" t="s">
        <v>768</v>
      </c>
      <c r="F39" s="2" t="str">
        <f t="shared" si="1"/>
        <v>Yes</v>
      </c>
    </row>
    <row r="40" spans="1:6" x14ac:dyDescent="0.3">
      <c r="A40" s="2" t="s">
        <v>279</v>
      </c>
      <c r="B40" s="2" t="s">
        <v>280</v>
      </c>
      <c r="C40" s="2" t="s">
        <v>45</v>
      </c>
      <c r="D40" s="2" t="s">
        <v>425</v>
      </c>
      <c r="E40" s="2" t="s">
        <v>768</v>
      </c>
      <c r="F40" s="2" t="str">
        <f t="shared" si="1"/>
        <v>Yes</v>
      </c>
    </row>
    <row r="41" spans="1:6" x14ac:dyDescent="0.3">
      <c r="A41" s="2" t="s">
        <v>281</v>
      </c>
      <c r="B41" s="2" t="s">
        <v>282</v>
      </c>
      <c r="C41" s="2" t="s">
        <v>46</v>
      </c>
      <c r="D41" s="2" t="s">
        <v>425</v>
      </c>
      <c r="E41" s="2" t="s">
        <v>768</v>
      </c>
      <c r="F41" s="2" t="str">
        <f t="shared" si="1"/>
        <v>Yes</v>
      </c>
    </row>
    <row r="42" spans="1:6" x14ac:dyDescent="0.3">
      <c r="A42" s="2" t="s">
        <v>283</v>
      </c>
      <c r="B42" s="2" t="s">
        <v>284</v>
      </c>
      <c r="C42" s="2" t="s">
        <v>49</v>
      </c>
      <c r="D42" s="2" t="s">
        <v>425</v>
      </c>
      <c r="E42" s="2" t="s">
        <v>768</v>
      </c>
      <c r="F42" s="2" t="str">
        <f t="shared" si="1"/>
        <v>Yes</v>
      </c>
    </row>
    <row r="43" spans="1:6" x14ac:dyDescent="0.3">
      <c r="A43" s="2" t="s">
        <v>285</v>
      </c>
      <c r="B43" s="2" t="s">
        <v>286</v>
      </c>
      <c r="C43" s="2" t="s">
        <v>50</v>
      </c>
      <c r="D43" s="2" t="s">
        <v>425</v>
      </c>
      <c r="E43" s="2" t="s">
        <v>768</v>
      </c>
      <c r="F43" s="2" t="str">
        <f t="shared" si="1"/>
        <v>Yes</v>
      </c>
    </row>
    <row r="44" spans="1:6" x14ac:dyDescent="0.3">
      <c r="A44" s="2" t="s">
        <v>287</v>
      </c>
      <c r="B44" s="2" t="s">
        <v>288</v>
      </c>
      <c r="C44" s="2" t="s">
        <v>51</v>
      </c>
      <c r="D44" s="2" t="s">
        <v>425</v>
      </c>
      <c r="E44" s="2" t="s">
        <v>768</v>
      </c>
      <c r="F44" s="2" t="str">
        <f t="shared" si="1"/>
        <v>Yes</v>
      </c>
    </row>
    <row r="45" spans="1:6" x14ac:dyDescent="0.3">
      <c r="A45" s="2" t="s">
        <v>289</v>
      </c>
      <c r="B45" s="2" t="s">
        <v>290</v>
      </c>
      <c r="C45" s="2" t="s">
        <v>52</v>
      </c>
      <c r="D45" s="2" t="s">
        <v>425</v>
      </c>
      <c r="E45" s="2" t="s">
        <v>768</v>
      </c>
      <c r="F45" s="2" t="str">
        <f t="shared" si="1"/>
        <v>Yes</v>
      </c>
    </row>
    <row r="46" spans="1:6" x14ac:dyDescent="0.3">
      <c r="A46" s="2" t="s">
        <v>291</v>
      </c>
      <c r="B46" s="2" t="s">
        <v>292</v>
      </c>
      <c r="C46" s="2" t="s">
        <v>53</v>
      </c>
      <c r="D46" s="2" t="s">
        <v>425</v>
      </c>
      <c r="E46" s="2" t="s">
        <v>768</v>
      </c>
      <c r="F46" s="2" t="str">
        <f t="shared" si="1"/>
        <v>Yes</v>
      </c>
    </row>
    <row r="47" spans="1:6" x14ac:dyDescent="0.3">
      <c r="A47" s="2" t="s">
        <v>293</v>
      </c>
      <c r="B47" s="2" t="s">
        <v>294</v>
      </c>
      <c r="C47" s="2" t="s">
        <v>56</v>
      </c>
      <c r="D47" s="2" t="s">
        <v>425</v>
      </c>
      <c r="E47" s="2" t="s">
        <v>768</v>
      </c>
      <c r="F47" s="2" t="str">
        <f t="shared" si="1"/>
        <v>Yes</v>
      </c>
    </row>
    <row r="48" spans="1:6" x14ac:dyDescent="0.3">
      <c r="A48" s="2" t="s">
        <v>295</v>
      </c>
      <c r="B48" s="2" t="s">
        <v>296</v>
      </c>
      <c r="D48" s="2" t="s">
        <v>425</v>
      </c>
      <c r="E48" s="2" t="s">
        <v>768</v>
      </c>
      <c r="F48" s="2" t="str">
        <f t="shared" si="1"/>
        <v>Yes</v>
      </c>
    </row>
    <row r="49" spans="1:6" x14ac:dyDescent="0.3">
      <c r="A49" s="2" t="s">
        <v>297</v>
      </c>
      <c r="B49" s="2" t="s">
        <v>298</v>
      </c>
      <c r="C49" s="2" t="s">
        <v>55</v>
      </c>
      <c r="D49" s="2" t="s">
        <v>425</v>
      </c>
      <c r="E49" s="2" t="s">
        <v>768</v>
      </c>
      <c r="F49" s="2" t="str">
        <f t="shared" si="1"/>
        <v>Yes</v>
      </c>
    </row>
    <row r="50" spans="1:6" s="1" customFormat="1" x14ac:dyDescent="0.3">
      <c r="A50" s="1" t="s">
        <v>299</v>
      </c>
      <c r="B50" s="1" t="s">
        <v>300</v>
      </c>
      <c r="E50" s="2" t="s">
        <v>768</v>
      </c>
      <c r="F50" s="1" t="str">
        <f t="shared" si="1"/>
        <v>Yes</v>
      </c>
    </row>
    <row r="51" spans="1:6" x14ac:dyDescent="0.3">
      <c r="A51" s="2" t="s">
        <v>301</v>
      </c>
      <c r="B51" s="2" t="s">
        <v>302</v>
      </c>
      <c r="E51" s="2" t="s">
        <v>768</v>
      </c>
      <c r="F51" s="2" t="str">
        <f t="shared" si="1"/>
        <v>Yes</v>
      </c>
    </row>
    <row r="52" spans="1:6" x14ac:dyDescent="0.3">
      <c r="A52" s="2" t="s">
        <v>303</v>
      </c>
      <c r="B52" s="2" t="s">
        <v>442</v>
      </c>
      <c r="E52" s="2" t="s">
        <v>768</v>
      </c>
      <c r="F52" s="2" t="str">
        <f t="shared" si="1"/>
        <v>Yes</v>
      </c>
    </row>
    <row r="53" spans="1:6" x14ac:dyDescent="0.3">
      <c r="A53" s="2" t="s">
        <v>304</v>
      </c>
      <c r="B53" s="2" t="s">
        <v>305</v>
      </c>
      <c r="E53" s="2" t="s">
        <v>768</v>
      </c>
      <c r="F53" s="2" t="str">
        <f t="shared" si="1"/>
        <v>Yes</v>
      </c>
    </row>
    <row r="54" spans="1:6" x14ac:dyDescent="0.3">
      <c r="A54" s="2" t="s">
        <v>306</v>
      </c>
      <c r="B54" s="2" t="s">
        <v>307</v>
      </c>
      <c r="E54" s="2" t="s">
        <v>768</v>
      </c>
      <c r="F54" s="2" t="str">
        <f t="shared" si="1"/>
        <v>Yes</v>
      </c>
    </row>
    <row r="55" spans="1:6" x14ac:dyDescent="0.3">
      <c r="A55" s="2" t="s">
        <v>308</v>
      </c>
      <c r="B55" s="2" t="s">
        <v>309</v>
      </c>
      <c r="E55" s="2" t="s">
        <v>768</v>
      </c>
      <c r="F55" s="2" t="str">
        <f t="shared" si="1"/>
        <v>Yes</v>
      </c>
    </row>
    <row r="56" spans="1:6" s="1" customFormat="1" x14ac:dyDescent="0.3">
      <c r="A56" s="1" t="s">
        <v>310</v>
      </c>
      <c r="B56" s="1" t="s">
        <v>311</v>
      </c>
      <c r="E56" s="2" t="s">
        <v>768</v>
      </c>
      <c r="F56" s="1" t="str">
        <f t="shared" si="1"/>
        <v>Yes</v>
      </c>
    </row>
    <row r="57" spans="1:6" x14ac:dyDescent="0.3">
      <c r="A57" s="2" t="s">
        <v>312</v>
      </c>
      <c r="B57" s="2" t="s">
        <v>313</v>
      </c>
      <c r="E57" s="2" t="s">
        <v>768</v>
      </c>
      <c r="F57" s="2" t="str">
        <f t="shared" si="1"/>
        <v>Yes</v>
      </c>
    </row>
    <row r="58" spans="1:6" x14ac:dyDescent="0.3">
      <c r="A58" s="2" t="s">
        <v>314</v>
      </c>
      <c r="B58" s="2" t="s">
        <v>315</v>
      </c>
      <c r="E58" s="2" t="s">
        <v>768</v>
      </c>
      <c r="F58" s="2" t="str">
        <f t="shared" si="1"/>
        <v>Yes</v>
      </c>
    </row>
    <row r="59" spans="1:6" x14ac:dyDescent="0.3">
      <c r="A59" s="2" t="s">
        <v>316</v>
      </c>
      <c r="B59" s="2" t="s">
        <v>317</v>
      </c>
      <c r="E59" s="2" t="s">
        <v>768</v>
      </c>
      <c r="F59" s="2" t="str">
        <f t="shared" si="1"/>
        <v>Yes</v>
      </c>
    </row>
    <row r="60" spans="1:6" x14ac:dyDescent="0.3">
      <c r="A60" s="2" t="s">
        <v>318</v>
      </c>
      <c r="B60" s="2" t="s">
        <v>319</v>
      </c>
      <c r="E60" s="2" t="s">
        <v>768</v>
      </c>
      <c r="F60" s="2" t="str">
        <f t="shared" si="1"/>
        <v>Yes</v>
      </c>
    </row>
    <row r="61" spans="1:6" x14ac:dyDescent="0.3">
      <c r="A61" s="2" t="s">
        <v>320</v>
      </c>
      <c r="B61" s="2" t="s">
        <v>321</v>
      </c>
      <c r="E61" s="2" t="s">
        <v>768</v>
      </c>
      <c r="F61" s="2" t="str">
        <f t="shared" si="1"/>
        <v>Yes</v>
      </c>
    </row>
    <row r="62" spans="1:6" x14ac:dyDescent="0.3">
      <c r="A62" s="2" t="s">
        <v>322</v>
      </c>
      <c r="B62" s="2" t="s">
        <v>323</v>
      </c>
      <c r="E62" s="2" t="s">
        <v>768</v>
      </c>
      <c r="F62" s="2" t="str">
        <f t="shared" si="1"/>
        <v>Yes</v>
      </c>
    </row>
    <row r="63" spans="1:6" x14ac:dyDescent="0.3">
      <c r="A63" s="2" t="s">
        <v>324</v>
      </c>
      <c r="B63" s="2" t="s">
        <v>325</v>
      </c>
      <c r="E63" s="2" t="s">
        <v>768</v>
      </c>
      <c r="F63" s="2" t="str">
        <f t="shared" si="1"/>
        <v>Yes</v>
      </c>
    </row>
    <row r="64" spans="1:6" x14ac:dyDescent="0.3">
      <c r="A64" s="2" t="s">
        <v>326</v>
      </c>
      <c r="B64" s="2" t="s">
        <v>327</v>
      </c>
      <c r="E64" s="2" t="s">
        <v>768</v>
      </c>
      <c r="F64" s="2" t="str">
        <f t="shared" si="1"/>
        <v>Yes</v>
      </c>
    </row>
    <row r="65" spans="1:6" x14ac:dyDescent="0.3">
      <c r="A65" s="2" t="s">
        <v>328</v>
      </c>
      <c r="B65" s="2" t="s">
        <v>329</v>
      </c>
      <c r="E65" s="2" t="s">
        <v>768</v>
      </c>
      <c r="F65" s="2" t="str">
        <f t="shared" si="1"/>
        <v>Yes</v>
      </c>
    </row>
    <row r="66" spans="1:6" x14ac:dyDescent="0.3">
      <c r="A66" s="2" t="s">
        <v>330</v>
      </c>
      <c r="B66" s="2" t="s">
        <v>331</v>
      </c>
      <c r="E66" s="2" t="s">
        <v>768</v>
      </c>
      <c r="F66" s="2" t="str">
        <f t="shared" ref="F66:F69" si="2">IF(E66="Yes","Yes",IF(AND(E66="",D66="Yes"),"Yes","No"))</f>
        <v>Yes</v>
      </c>
    </row>
    <row r="67" spans="1:6" s="1" customFormat="1" x14ac:dyDescent="0.3">
      <c r="A67" s="1" t="s">
        <v>332</v>
      </c>
      <c r="B67" s="1" t="s">
        <v>333</v>
      </c>
      <c r="E67" s="2" t="s">
        <v>768</v>
      </c>
      <c r="F67" s="1" t="str">
        <f t="shared" si="2"/>
        <v>Yes</v>
      </c>
    </row>
    <row r="68" spans="1:6" x14ac:dyDescent="0.3">
      <c r="A68" s="2" t="s">
        <v>334</v>
      </c>
      <c r="B68" s="2" t="s">
        <v>335</v>
      </c>
      <c r="E68" s="2" t="s">
        <v>768</v>
      </c>
      <c r="F68" s="2" t="str">
        <f t="shared" si="2"/>
        <v>Yes</v>
      </c>
    </row>
    <row r="69" spans="1:6" x14ac:dyDescent="0.3">
      <c r="A69" s="2" t="s">
        <v>336</v>
      </c>
      <c r="B69" s="2" t="s">
        <v>337</v>
      </c>
      <c r="E69" s="2" t="s">
        <v>768</v>
      </c>
      <c r="F69" s="2" t="str">
        <f t="shared" si="2"/>
        <v>Yes</v>
      </c>
    </row>
  </sheetData>
  <dataValidations count="1">
    <dataValidation type="list" allowBlank="1" showInputMessage="1" showErrorMessage="1" sqref="E2:E69" xr:uid="{056555A9-FA9C-415B-BD67-1A61D2185F02}">
      <formula1>"Yes,No"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327A2-D986-4E71-98CE-5057239204DF}">
  <sheetPr codeName="Sheet175"/>
  <dimension ref="A7:D47"/>
  <sheetViews>
    <sheetView workbookViewId="0">
      <selection activeCell="C12" sqref="C12"/>
    </sheetView>
  </sheetViews>
  <sheetFormatPr defaultRowHeight="14" x14ac:dyDescent="0.3"/>
  <cols>
    <col min="1" max="1" width="50.6328125" style="2" customWidth="1"/>
    <col min="2" max="2" width="10.6328125" style="2" customWidth="1"/>
    <col min="3" max="4" width="30.6328125" style="2" customWidth="1"/>
    <col min="5" max="16384" width="8.7265625" style="2"/>
  </cols>
  <sheetData>
    <row r="7" spans="1:4" x14ac:dyDescent="0.3">
      <c r="A7" s="1" t="s">
        <v>127</v>
      </c>
      <c r="B7" s="1" t="s">
        <v>338</v>
      </c>
      <c r="C7" s="1" t="s">
        <v>339</v>
      </c>
      <c r="D7" s="1" t="s">
        <v>340</v>
      </c>
    </row>
    <row r="8" spans="1:4" x14ac:dyDescent="0.3">
      <c r="A8" s="1" t="s">
        <v>341</v>
      </c>
      <c r="C8" s="6"/>
      <c r="D8" s="6"/>
    </row>
    <row r="9" spans="1:4" x14ac:dyDescent="0.3">
      <c r="A9" s="1" t="s">
        <v>342</v>
      </c>
      <c r="C9" s="6"/>
      <c r="D9" s="6"/>
    </row>
    <row r="10" spans="1:4" x14ac:dyDescent="0.3">
      <c r="A10" s="2" t="s">
        <v>343</v>
      </c>
      <c r="C10" s="6">
        <f>SUMIFS(tblTrialBalance[Closing Balance (CY)], tblTrialBalance[Major Head], "Property, Plant and Equipment")</f>
        <v>0</v>
      </c>
      <c r="D10" s="6">
        <f>SUMIFS(tblTrialBalance[Closing Balance (PY)], tblTrialBalance[Major Head], "Property, Plant and Equipment")</f>
        <v>0</v>
      </c>
    </row>
    <row r="11" spans="1:4" x14ac:dyDescent="0.3">
      <c r="A11" s="2" t="s">
        <v>344</v>
      </c>
      <c r="B11" s="2">
        <f>IFERROR(VLOOKUP("C.1", Selection_Sheet!$A:$G, 7, FALSE), "-")</f>
        <v>0</v>
      </c>
      <c r="C11" s="6">
        <f>SUMIFS(tblTrialBalance[Closing Balance (CY)], tblTrialBalance[Major Head], "Intangible Assets")</f>
        <v>0</v>
      </c>
      <c r="D11" s="6">
        <f>SUMIFS(tblTrialBalance[Closing Balance (PY)], tblTrialBalance[Major Head], "Intangible Assets")</f>
        <v>0</v>
      </c>
    </row>
    <row r="12" spans="1:4" x14ac:dyDescent="0.3">
      <c r="A12" s="2" t="s">
        <v>345</v>
      </c>
      <c r="B12" s="2">
        <f>IFERROR(VLOOKUP("C.3", Selection_Sheet!$A:$G, 7, FALSE), "-")</f>
        <v>0</v>
      </c>
      <c r="C12" s="6">
        <f>SUMIFS(tblTrialBalance[Closing Balance (CY)], tblTrialBalance[Major Head], "Non-current Investments")</f>
        <v>0</v>
      </c>
      <c r="D12" s="6">
        <f>SUMIFS(tblTrialBalance[Closing Balance (PY)], tblTrialBalance[Major Head], "Non-current Investments")</f>
        <v>0</v>
      </c>
    </row>
    <row r="13" spans="1:4" x14ac:dyDescent="0.3">
      <c r="A13" s="2" t="s">
        <v>346</v>
      </c>
      <c r="B13" s="2">
        <f>IFERROR(VLOOKUP("C.4", Selection_Sheet!$A:$G, 7, FALSE), "-")</f>
        <v>0</v>
      </c>
      <c r="C13" s="6">
        <f>SUMIFS(tblTrialBalance[Closing Balance (CY)], tblTrialBalance[Major Head], "Long-term Loans and Advances")</f>
        <v>0</v>
      </c>
      <c r="D13" s="6">
        <f>SUMIFS(tblTrialBalance[Closing Balance (PY)], tblTrialBalance[Major Head], "Long-term Loans and Advances")</f>
        <v>0</v>
      </c>
    </row>
    <row r="14" spans="1:4" x14ac:dyDescent="0.3">
      <c r="A14" s="2" t="s">
        <v>347</v>
      </c>
      <c r="C14" s="6">
        <f>SUMIFS(tblTrialBalance[Closing Balance (CY)], tblTrialBalance[Major Head], "Other Non-current Assets")</f>
        <v>0</v>
      </c>
      <c r="D14" s="6">
        <f>SUMIFS(tblTrialBalance[Closing Balance (PY)], tblTrialBalance[Major Head], "Other Non-current Assets")</f>
        <v>0</v>
      </c>
    </row>
    <row r="15" spans="1:4" x14ac:dyDescent="0.3">
      <c r="A15" s="1" t="s">
        <v>348</v>
      </c>
      <c r="B15" s="1">
        <f>IFERROR(VLOOKUP("C.8", Selection_Sheet!$A:$G, 7, FALSE), "-")</f>
        <v>0</v>
      </c>
      <c r="C15" s="7">
        <f>SUM(C10:C14)</f>
        <v>0</v>
      </c>
      <c r="D15" s="6">
        <f>SUM(D10:D14)</f>
        <v>0</v>
      </c>
    </row>
    <row r="16" spans="1:4" x14ac:dyDescent="0.3">
      <c r="C16" s="6"/>
      <c r="D16" s="6"/>
    </row>
    <row r="17" spans="1:4" x14ac:dyDescent="0.3">
      <c r="A17" s="1" t="s">
        <v>349</v>
      </c>
      <c r="C17" s="6"/>
      <c r="D17" s="6"/>
    </row>
    <row r="18" spans="1:4" x14ac:dyDescent="0.3">
      <c r="A18" s="2" t="s">
        <v>350</v>
      </c>
      <c r="C18" s="6">
        <f>SUMIFS(tblTrialBalance[Closing Balance (CY)], tblTrialBalance[Major Head], "Current Investments")</f>
        <v>0</v>
      </c>
      <c r="D18" s="6">
        <f>SUMIFS(tblTrialBalance[Closing Balance (PY)], tblTrialBalance[Major Head], "Current Investments")</f>
        <v>0</v>
      </c>
    </row>
    <row r="19" spans="1:4" x14ac:dyDescent="0.3">
      <c r="A19" s="2" t="s">
        <v>351</v>
      </c>
      <c r="C19" s="6">
        <f>SUMIFS(tblTrialBalance[Closing Balance (CY)], tblTrialBalance[Major Head], "Inventories")</f>
        <v>0</v>
      </c>
      <c r="D19" s="6">
        <f>SUMIFS(tblTrialBalance[Closing Balance (PY)], tblTrialBalance[Major Head], "Inventories")</f>
        <v>0</v>
      </c>
    </row>
    <row r="20" spans="1:4" x14ac:dyDescent="0.3">
      <c r="A20" s="2" t="s">
        <v>352</v>
      </c>
      <c r="B20" s="2">
        <f>IFERROR(VLOOKUP("C.5", Selection_Sheet!$A:$G, 7, FALSE), "-")</f>
        <v>0</v>
      </c>
      <c r="C20" s="6">
        <f>SUMIFS(tblTrialBalance[Closing Balance (CY)], tblTrialBalance[Major Head], "Trade Receivables")</f>
        <v>0</v>
      </c>
      <c r="D20" s="6">
        <f>SUMIFS(tblTrialBalance[Closing Balance (PY)], tblTrialBalance[Major Head], "Trade Receivables")</f>
        <v>0</v>
      </c>
    </row>
    <row r="21" spans="1:4" x14ac:dyDescent="0.3">
      <c r="A21" s="2" t="s">
        <v>353</v>
      </c>
      <c r="B21" s="2">
        <f>IFERROR(VLOOKUP("C.6", Selection_Sheet!$A:$G, 7, FALSE), "-")</f>
        <v>0</v>
      </c>
      <c r="C21" s="6">
        <f>SUMIFS(tblTrialBalance[Closing Balance (CY)], tblTrialBalance[Major Head], "Cash and Cash Equivalents")</f>
        <v>0</v>
      </c>
      <c r="D21" s="6">
        <f>SUMIFS(tblTrialBalance[Closing Balance (PY)], tblTrialBalance[Major Head], "Cash and Cash Equivalents")</f>
        <v>0</v>
      </c>
    </row>
    <row r="22" spans="1:4" x14ac:dyDescent="0.3">
      <c r="A22" s="2" t="s">
        <v>354</v>
      </c>
      <c r="B22" s="2">
        <f>IFERROR(VLOOKUP("C.7", Selection_Sheet!$A:$G, 7, FALSE), "-")</f>
        <v>0</v>
      </c>
      <c r="C22" s="6">
        <f>SUMIFS(tblTrialBalance[Closing Balance (CY)], tblTrialBalance[Major Head], "Short-term Loans and Advances")</f>
        <v>0</v>
      </c>
      <c r="D22" s="6">
        <f>SUMIFS(tblTrialBalance[Closing Balance (PY)], tblTrialBalance[Major Head], "Short-term Loans and Advances")</f>
        <v>0</v>
      </c>
    </row>
    <row r="23" spans="1:4" x14ac:dyDescent="0.3">
      <c r="A23" s="2" t="s">
        <v>355</v>
      </c>
      <c r="C23" s="6">
        <f>SUMIFS(tblTrialBalance[Closing Balance (CY)], tblTrialBalance[Major Head], "Other Current Assets")</f>
        <v>0</v>
      </c>
      <c r="D23" s="6">
        <f>SUMIFS(tblTrialBalance[Closing Balance (PY)], tblTrialBalance[Major Head], "Other Current Assets")</f>
        <v>0</v>
      </c>
    </row>
    <row r="24" spans="1:4" x14ac:dyDescent="0.3">
      <c r="A24" s="1" t="s">
        <v>356</v>
      </c>
      <c r="B24" s="1"/>
      <c r="C24" s="7">
        <f>SUM(C18:C23)</f>
        <v>0</v>
      </c>
      <c r="D24" s="6">
        <f>SUM(D18:D23)</f>
        <v>0</v>
      </c>
    </row>
    <row r="25" spans="1:4" x14ac:dyDescent="0.3">
      <c r="A25" s="8" t="s">
        <v>357</v>
      </c>
      <c r="B25" s="8"/>
      <c r="C25" s="9">
        <f>C17+C24</f>
        <v>0</v>
      </c>
      <c r="D25" s="10">
        <f>D17+D24</f>
        <v>0</v>
      </c>
    </row>
    <row r="26" spans="1:4" x14ac:dyDescent="0.3">
      <c r="C26" s="6"/>
      <c r="D26" s="6"/>
    </row>
    <row r="27" spans="1:4" x14ac:dyDescent="0.3">
      <c r="A27" s="1" t="s">
        <v>358</v>
      </c>
      <c r="C27" s="6"/>
      <c r="D27" s="6"/>
    </row>
    <row r="28" spans="1:4" x14ac:dyDescent="0.3">
      <c r="A28" s="1" t="s">
        <v>359</v>
      </c>
      <c r="C28" s="6"/>
      <c r="D28" s="6"/>
    </row>
    <row r="29" spans="1:4" x14ac:dyDescent="0.3">
      <c r="A29" s="2" t="s">
        <v>360</v>
      </c>
      <c r="C29" s="6">
        <f>-SUMIFS(tblTrialBalance[Closing Balance (CY)], tblTrialBalance[Major Head], "Equity Share Capital")</f>
        <v>0</v>
      </c>
      <c r="D29" s="6">
        <f>-SUMIFS(tblTrialBalance[Closing Balance (PY)], tblTrialBalance[Major Head], "Equity Share Capital")</f>
        <v>0</v>
      </c>
    </row>
    <row r="30" spans="1:4" x14ac:dyDescent="0.3">
      <c r="A30" s="2" t="s">
        <v>361</v>
      </c>
      <c r="C30" s="6">
        <f>-SUMIFS(tblTrialBalance[Closing Balance (CY)], tblTrialBalance[Major Head], "Other Equity")</f>
        <v>0</v>
      </c>
      <c r="D30" s="6">
        <f>-SUMIFS(tblTrialBalance[Closing Balance (PY)], tblTrialBalance[Major Head], "Other Equity")</f>
        <v>0</v>
      </c>
    </row>
    <row r="31" spans="1:4" x14ac:dyDescent="0.3">
      <c r="A31" s="1" t="s">
        <v>362</v>
      </c>
      <c r="B31" s="1">
        <f>IFERROR(VLOOKUP("B.1", Selection_Sheet!$A:$G, 7, FALSE), "-")</f>
        <v>0</v>
      </c>
      <c r="C31" s="7">
        <f>SUM(C29:C30)</f>
        <v>0</v>
      </c>
      <c r="D31" s="6">
        <f>SUM(D29:D30)</f>
        <v>0</v>
      </c>
    </row>
    <row r="32" spans="1:4" x14ac:dyDescent="0.3">
      <c r="B32" s="2">
        <f>IFERROR(VLOOKUP("B.2", Selection_Sheet!$A:$G, 7, FALSE), "-")</f>
        <v>0</v>
      </c>
      <c r="C32" s="6"/>
      <c r="D32" s="6"/>
    </row>
    <row r="33" spans="1:4" x14ac:dyDescent="0.3">
      <c r="A33" s="1" t="s">
        <v>363</v>
      </c>
      <c r="C33" s="6"/>
      <c r="D33" s="6"/>
    </row>
    <row r="34" spans="1:4" x14ac:dyDescent="0.3">
      <c r="A34" s="1" t="s">
        <v>364</v>
      </c>
      <c r="C34" s="6"/>
      <c r="D34" s="6"/>
    </row>
    <row r="35" spans="1:4" x14ac:dyDescent="0.3">
      <c r="A35" s="2" t="s">
        <v>365</v>
      </c>
      <c r="C35" s="6">
        <f>-SUMIFS(tblTrialBalance[Closing Balance (CY)], tblTrialBalance[Major Head], "Long-term Borrowings")</f>
        <v>0</v>
      </c>
      <c r="D35" s="6">
        <f>-SUMIFS(tblTrialBalance[Closing Balance (PY)], tblTrialBalance[Major Head], "Long-term Borrowings")</f>
        <v>0</v>
      </c>
    </row>
    <row r="36" spans="1:4" x14ac:dyDescent="0.3">
      <c r="A36" s="2" t="s">
        <v>366</v>
      </c>
      <c r="C36" s="6">
        <f>-SUMIFS(tblTrialBalance[Closing Balance (CY)], tblTrialBalance[Major Head], "Deferred Tax Liabilities (Net)")</f>
        <v>0</v>
      </c>
      <c r="D36" s="6">
        <f>-SUMIFS(tblTrialBalance[Closing Balance (PY)], tblTrialBalance[Major Head], "Deferred Tax Liabilities (Net)")</f>
        <v>0</v>
      </c>
    </row>
    <row r="37" spans="1:4" x14ac:dyDescent="0.3">
      <c r="A37" s="2" t="s">
        <v>367</v>
      </c>
      <c r="C37" s="6">
        <f>-SUMIFS(tblTrialBalance[Closing Balance (CY)], tblTrialBalance[Major Head], "Other Long-term Liabilities")</f>
        <v>0</v>
      </c>
      <c r="D37" s="6">
        <f>-SUMIFS(tblTrialBalance[Closing Balance (PY)], tblTrialBalance[Major Head], "Other Long-term Liabilities")</f>
        <v>0</v>
      </c>
    </row>
    <row r="38" spans="1:4" x14ac:dyDescent="0.3">
      <c r="A38" s="2" t="s">
        <v>368</v>
      </c>
      <c r="B38" s="2">
        <f>IFERROR(VLOOKUP("B.3", Selection_Sheet!$A:$G, 7, FALSE), "-")</f>
        <v>0</v>
      </c>
      <c r="C38" s="6">
        <f>-SUMIFS(tblTrialBalance[Closing Balance (CY)], tblTrialBalance[Major Head], "Long-term Provisions")</f>
        <v>0</v>
      </c>
      <c r="D38" s="6">
        <f>-SUMIFS(tblTrialBalance[Closing Balance (PY)], tblTrialBalance[Major Head], "Long-term Provisions")</f>
        <v>0</v>
      </c>
    </row>
    <row r="39" spans="1:4" x14ac:dyDescent="0.3">
      <c r="A39" s="1" t="s">
        <v>369</v>
      </c>
      <c r="B39" s="1"/>
      <c r="C39" s="7">
        <f>SUM(C35:C38)</f>
        <v>0</v>
      </c>
      <c r="D39" s="6">
        <f>SUM(D35:D38)</f>
        <v>0</v>
      </c>
    </row>
    <row r="40" spans="1:4" x14ac:dyDescent="0.3">
      <c r="B40" s="2">
        <f>IFERROR(VLOOKUP("B.6", Selection_Sheet!$A:$G, 7, FALSE), "-")</f>
        <v>0</v>
      </c>
      <c r="C40" s="6"/>
      <c r="D40" s="6"/>
    </row>
    <row r="41" spans="1:4" x14ac:dyDescent="0.3">
      <c r="A41" s="1" t="s">
        <v>370</v>
      </c>
      <c r="B41" s="2">
        <f>IFERROR(VLOOKUP("B.7", Selection_Sheet!$A:$G, 7, FALSE), "-")</f>
        <v>0</v>
      </c>
      <c r="C41" s="6"/>
      <c r="D41" s="6"/>
    </row>
    <row r="42" spans="1:4" x14ac:dyDescent="0.3">
      <c r="A42" s="2" t="s">
        <v>371</v>
      </c>
      <c r="C42" s="6">
        <f>-SUMIFS(tblTrialBalance[Closing Balance (CY)], tblTrialBalance[Major Head], "Short-term Borrowings")</f>
        <v>0</v>
      </c>
      <c r="D42" s="6">
        <f>-SUMIFS(tblTrialBalance[Closing Balance (PY)], tblTrialBalance[Major Head], "Short-term Borrowings")</f>
        <v>0</v>
      </c>
    </row>
    <row r="43" spans="1:4" x14ac:dyDescent="0.3">
      <c r="A43" s="2" t="s">
        <v>372</v>
      </c>
      <c r="B43" s="2">
        <f>IFERROR(VLOOKUP("B.4", Selection_Sheet!$A:$G, 7, FALSE), "-")</f>
        <v>0</v>
      </c>
      <c r="C43" s="6">
        <f>-SUMIFS(tblTrialBalance[Closing Balance (CY)], tblTrialBalance[Major Head], "Trade Payables")</f>
        <v>0</v>
      </c>
      <c r="D43" s="6">
        <f>-SUMIFS(tblTrialBalance[Closing Balance (PY)], tblTrialBalance[Major Head], "Trade Payables")</f>
        <v>0</v>
      </c>
    </row>
    <row r="44" spans="1:4" x14ac:dyDescent="0.3">
      <c r="A44" s="2" t="s">
        <v>373</v>
      </c>
      <c r="B44" s="2">
        <f>IFERROR(VLOOKUP("B.5", Selection_Sheet!$A:$G, 7, FALSE), "-")</f>
        <v>0</v>
      </c>
      <c r="C44" s="6">
        <f>-SUMIFS(tblTrialBalance[Closing Balance (CY)], tblTrialBalance[Major Head], "Other Current Liabilities")</f>
        <v>0</v>
      </c>
      <c r="D44" s="6">
        <f>-SUMIFS(tblTrialBalance[Closing Balance (PY)], tblTrialBalance[Major Head], "Other Current Liabilities")</f>
        <v>0</v>
      </c>
    </row>
    <row r="45" spans="1:4" x14ac:dyDescent="0.3">
      <c r="A45" s="2" t="s">
        <v>374</v>
      </c>
      <c r="C45" s="6">
        <f>-SUMIFS(tblTrialBalance[Closing Balance (CY)], tblTrialBalance[Major Head], "Short-term Provisions")</f>
        <v>0</v>
      </c>
      <c r="D45" s="6">
        <f>-SUMIFS(tblTrialBalance[Closing Balance (PY)], tblTrialBalance[Major Head], "Short-term Provisions")</f>
        <v>0</v>
      </c>
    </row>
    <row r="46" spans="1:4" x14ac:dyDescent="0.3">
      <c r="A46" s="1" t="s">
        <v>375</v>
      </c>
      <c r="B46" s="1"/>
      <c r="C46" s="7">
        <f>SUM(C42:C45)</f>
        <v>0</v>
      </c>
      <c r="D46" s="6">
        <f>SUM(D42:D45)</f>
        <v>0</v>
      </c>
    </row>
    <row r="47" spans="1:4" x14ac:dyDescent="0.3">
      <c r="A47" s="8" t="s">
        <v>376</v>
      </c>
      <c r="B47" s="8"/>
      <c r="C47" s="9">
        <f>C34+C40+C46</f>
        <v>0</v>
      </c>
      <c r="D47" s="10">
        <f>D34+D40+D46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44120-6F54-4C06-86A7-9237015FAB95}">
  <sheetPr codeName="Sheet176"/>
  <dimension ref="A7:D32"/>
  <sheetViews>
    <sheetView workbookViewId="0"/>
  </sheetViews>
  <sheetFormatPr defaultRowHeight="14" x14ac:dyDescent="0.3"/>
  <cols>
    <col min="1" max="1" width="60.6328125" style="2" customWidth="1"/>
    <col min="2" max="2" width="10.6328125" style="2" customWidth="1"/>
    <col min="3" max="4" width="30.6328125" style="2" customWidth="1"/>
    <col min="5" max="16384" width="8.7265625" style="2"/>
  </cols>
  <sheetData>
    <row r="7" spans="1:4" x14ac:dyDescent="0.3">
      <c r="A7" s="1" t="s">
        <v>127</v>
      </c>
      <c r="B7" s="1" t="s">
        <v>338</v>
      </c>
      <c r="C7" s="1" t="s">
        <v>377</v>
      </c>
      <c r="D7" s="1" t="s">
        <v>378</v>
      </c>
    </row>
    <row r="8" spans="1:4" x14ac:dyDescent="0.3">
      <c r="A8" s="2" t="s">
        <v>379</v>
      </c>
      <c r="B8" s="2">
        <f>IFERROR(VLOOKUP("D.1", Selection_Sheet!$A:$G, 7, FALSE), "-")</f>
        <v>0</v>
      </c>
      <c r="C8" s="6">
        <f>-SUMIFS(tblTrialBalance[Closing Balance (CY)], tblTrialBalance[Major Head], "Revenue from Operations")</f>
        <v>0</v>
      </c>
      <c r="D8" s="6">
        <f>-SUMIFS(tblTrialBalance[Closing Balance (PY)], tblTrialBalance[Major Head], "Revenue from Operations")</f>
        <v>0</v>
      </c>
    </row>
    <row r="9" spans="1:4" x14ac:dyDescent="0.3">
      <c r="A9" s="2" t="s">
        <v>380</v>
      </c>
      <c r="B9" s="2">
        <f>IFERROR(VLOOKUP("D.2", Selection_Sheet!$A:$G, 7, FALSE), "-")</f>
        <v>0</v>
      </c>
      <c r="C9" s="6">
        <f>-SUMIFS(tblTrialBalance[Closing Balance (CY)], tblTrialBalance[Major Head], "Other Income")</f>
        <v>0</v>
      </c>
      <c r="D9" s="6">
        <f>-SUMIFS(tblTrialBalance[Closing Balance (PY)], tblTrialBalance[Major Head], "Other Income")</f>
        <v>0</v>
      </c>
    </row>
    <row r="10" spans="1:4" x14ac:dyDescent="0.3">
      <c r="A10" s="8" t="s">
        <v>381</v>
      </c>
      <c r="B10" s="8"/>
      <c r="C10" s="9">
        <f>SUM(C8:C9)</f>
        <v>0</v>
      </c>
      <c r="D10" s="10">
        <f>SUM(D8:D9)</f>
        <v>0</v>
      </c>
    </row>
    <row r="11" spans="1:4" x14ac:dyDescent="0.3">
      <c r="C11" s="6"/>
      <c r="D11" s="6"/>
    </row>
    <row r="12" spans="1:4" x14ac:dyDescent="0.3">
      <c r="A12" s="1" t="s">
        <v>382</v>
      </c>
      <c r="B12" s="2">
        <f>IFERROR(VLOOKUP("D.3", Selection_Sheet!$A:$G, 7, FALSE), "-")</f>
        <v>0</v>
      </c>
      <c r="C12" s="6"/>
      <c r="D12" s="6"/>
    </row>
    <row r="13" spans="1:4" x14ac:dyDescent="0.3">
      <c r="A13" s="2" t="s">
        <v>383</v>
      </c>
      <c r="C13" s="6">
        <f>SUMIFS(tblTrialBalance[Closing Balance (CY)], tblTrialBalance[Major Head], "Cost of Materials Consumed")</f>
        <v>0</v>
      </c>
      <c r="D13" s="6">
        <f>SUMIFS(tblTrialBalance[Closing Balance (PY)], tblTrialBalance[Major Head], "Cost of Materials Consumed")</f>
        <v>0</v>
      </c>
    </row>
    <row r="14" spans="1:4" x14ac:dyDescent="0.3">
      <c r="A14" s="2" t="s">
        <v>384</v>
      </c>
      <c r="C14" s="6">
        <f>SUMIFS(tblTrialBalance[Closing Balance (CY)], tblTrialBalance[Major Head], "Purchases of Stock-in-Trade")</f>
        <v>0</v>
      </c>
      <c r="D14" s="6">
        <f>SUMIFS(tblTrialBalance[Closing Balance (PY)], tblTrialBalance[Major Head], "Purchases of Stock-in-Trade")</f>
        <v>0</v>
      </c>
    </row>
    <row r="15" spans="1:4" x14ac:dyDescent="0.3">
      <c r="A15" s="2" t="s">
        <v>385</v>
      </c>
      <c r="B15" s="2">
        <f>IFERROR(VLOOKUP("D.4", Selection_Sheet!$A:$G, 7, FALSE), "-")</f>
        <v>0</v>
      </c>
      <c r="C15" s="6">
        <f>SUMIFS(tblTrialBalance[Closing Balance (CY)], tblTrialBalance[Major Head], "Changes in Inventories")</f>
        <v>0</v>
      </c>
      <c r="D15" s="6">
        <f>SUMIFS(tblTrialBalance[Closing Balance (PY)], tblTrialBalance[Major Head], "Changes in Inventories")</f>
        <v>0</v>
      </c>
    </row>
    <row r="16" spans="1:4" x14ac:dyDescent="0.3">
      <c r="A16" s="2" t="s">
        <v>386</v>
      </c>
      <c r="B16" s="2">
        <f>IFERROR(VLOOKUP("D.5", Selection_Sheet!$A:$G, 7, FALSE), "-")</f>
        <v>0</v>
      </c>
      <c r="C16" s="6">
        <f>SUMIFS(tblTrialBalance[Closing Balance (CY)], tblTrialBalance[Major Head], "Employee Benefits Expense")</f>
        <v>0</v>
      </c>
      <c r="D16" s="6">
        <f>SUMIFS(tblTrialBalance[Closing Balance (PY)], tblTrialBalance[Major Head], "Employee Benefits Expense")</f>
        <v>0</v>
      </c>
    </row>
    <row r="17" spans="1:4" x14ac:dyDescent="0.3">
      <c r="A17" s="2" t="s">
        <v>387</v>
      </c>
      <c r="B17" s="2">
        <f>IFERROR(VLOOKUP("D.6", Selection_Sheet!$A:$G, 7, FALSE), "-")</f>
        <v>0</v>
      </c>
      <c r="C17" s="6">
        <f>SUMIFS(tblTrialBalance[Closing Balance (CY)], tblTrialBalance[Major Head], "Finance Costs")</f>
        <v>0</v>
      </c>
      <c r="D17" s="6">
        <f>SUMIFS(tblTrialBalance[Closing Balance (PY)], tblTrialBalance[Major Head], "Finance Costs")</f>
        <v>0</v>
      </c>
    </row>
    <row r="18" spans="1:4" x14ac:dyDescent="0.3">
      <c r="A18" s="2" t="s">
        <v>388</v>
      </c>
      <c r="B18" s="2">
        <f>IFERROR(VLOOKUP("D.7", Selection_Sheet!$A:$G, 7, FALSE), "-")</f>
        <v>0</v>
      </c>
      <c r="C18" s="6">
        <f>SUMIFS(tblTrialBalance[Closing Balance (CY)], tblTrialBalance[Major Head], "Depreciation and Amortization")</f>
        <v>0</v>
      </c>
      <c r="D18" s="6">
        <f>SUMIFS(tblTrialBalance[Closing Balance (PY)], tblTrialBalance[Major Head], "Depreciation and Amortization")</f>
        <v>0</v>
      </c>
    </row>
    <row r="19" spans="1:4" x14ac:dyDescent="0.3">
      <c r="A19" s="2" t="s">
        <v>389</v>
      </c>
      <c r="C19" s="6">
        <f>SUMIFS(tblTrialBalance[Closing Balance (CY)], tblTrialBalance[Major Head], "Other Expenses")</f>
        <v>0</v>
      </c>
      <c r="D19" s="6">
        <f>SUMIFS(tblTrialBalance[Closing Balance (PY)], tblTrialBalance[Major Head], "Other Expenses")</f>
        <v>0</v>
      </c>
    </row>
    <row r="20" spans="1:4" x14ac:dyDescent="0.3">
      <c r="A20" s="8" t="s">
        <v>390</v>
      </c>
      <c r="B20" s="8"/>
      <c r="C20" s="9">
        <f>SUM(C13:C19)</f>
        <v>0</v>
      </c>
      <c r="D20" s="10">
        <f>SUM(D13:D19)</f>
        <v>0</v>
      </c>
    </row>
    <row r="21" spans="1:4" x14ac:dyDescent="0.3">
      <c r="B21" s="2">
        <f>IFERROR(VLOOKUP("D.8", Selection_Sheet!$A:$G, 7, FALSE), "-")</f>
        <v>0</v>
      </c>
      <c r="C21" s="6"/>
      <c r="D21" s="6"/>
    </row>
    <row r="22" spans="1:4" x14ac:dyDescent="0.3">
      <c r="A22" s="1" t="s">
        <v>391</v>
      </c>
      <c r="B22" s="1"/>
      <c r="C22" s="7">
        <f>C12-C21</f>
        <v>0</v>
      </c>
      <c r="D22" s="6">
        <f>D12-D21</f>
        <v>0</v>
      </c>
    </row>
    <row r="23" spans="1:4" x14ac:dyDescent="0.3">
      <c r="A23" s="2" t="s">
        <v>392</v>
      </c>
      <c r="C23" s="6">
        <f>-SUMIFS(tblTrialBalance[Closing Balance (CY)], tblTrialBalance[Major Head], "Exceptional Items")</f>
        <v>0</v>
      </c>
      <c r="D23" s="6">
        <f>-SUMIFS(tblTrialBalance[Closing Balance (PY)], tblTrialBalance[Major Head], "Exceptional Items")</f>
        <v>0</v>
      </c>
    </row>
    <row r="24" spans="1:4" x14ac:dyDescent="0.3">
      <c r="A24" s="1" t="s">
        <v>393</v>
      </c>
      <c r="B24" s="1"/>
      <c r="C24" s="7">
        <f>C22-C23</f>
        <v>0</v>
      </c>
      <c r="D24" s="6">
        <f>D22-D23</f>
        <v>0</v>
      </c>
    </row>
    <row r="25" spans="1:4" x14ac:dyDescent="0.3">
      <c r="A25" s="2" t="s">
        <v>394</v>
      </c>
      <c r="B25" s="2">
        <f>IFERROR(VLOOKUP("D.11", Selection_Sheet!$A:$G, 7, FALSE), "-")</f>
        <v>0</v>
      </c>
      <c r="C25" s="6">
        <f>-SUMIFS(tblTrialBalance[Closing Balance (CY)], tblTrialBalance[Major Head], "Extraordinary Items")</f>
        <v>0</v>
      </c>
      <c r="D25" s="6">
        <f>-SUMIFS(tblTrialBalance[Closing Balance (PY)], tblTrialBalance[Major Head], "Extraordinary Items")</f>
        <v>0</v>
      </c>
    </row>
    <row r="26" spans="1:4" x14ac:dyDescent="0.3">
      <c r="A26" s="1" t="s">
        <v>395</v>
      </c>
      <c r="B26" s="1"/>
      <c r="C26" s="7">
        <f>C24-C25</f>
        <v>0</v>
      </c>
      <c r="D26" s="6">
        <f>D24-D25</f>
        <v>0</v>
      </c>
    </row>
    <row r="27" spans="1:4" x14ac:dyDescent="0.3">
      <c r="A27" s="2" t="s">
        <v>396</v>
      </c>
      <c r="C27" s="6">
        <f>SUMIFS(tblTrialBalance[Closing Balance (CY)], tblTrialBalance[Major Head], "Taxes on Income")</f>
        <v>0</v>
      </c>
      <c r="D27" s="6">
        <f>SUMIFS(tblTrialBalance[Closing Balance (PY)], tblTrialBalance[Major Head], "Taxes on Income")</f>
        <v>0</v>
      </c>
    </row>
    <row r="28" spans="1:4" x14ac:dyDescent="0.3">
      <c r="A28" s="1" t="s">
        <v>397</v>
      </c>
      <c r="B28" s="1">
        <f>IFERROR(VLOOKUP("D.10", Selection_Sheet!$A:$G, 7, FALSE), "-")</f>
        <v>0</v>
      </c>
      <c r="C28" s="7">
        <f>C26-C27</f>
        <v>0</v>
      </c>
      <c r="D28" s="6">
        <f>D26-D27</f>
        <v>0</v>
      </c>
    </row>
    <row r="29" spans="1:4" x14ac:dyDescent="0.3">
      <c r="C29" s="6"/>
      <c r="D29" s="6"/>
    </row>
    <row r="30" spans="1:4" x14ac:dyDescent="0.3">
      <c r="A30" s="1" t="s">
        <v>398</v>
      </c>
      <c r="C30" s="6"/>
      <c r="D30" s="6"/>
    </row>
    <row r="31" spans="1:4" x14ac:dyDescent="0.3">
      <c r="A31" s="2" t="s">
        <v>399</v>
      </c>
      <c r="C31" s="6"/>
      <c r="D31" s="6"/>
    </row>
    <row r="32" spans="1:4" x14ac:dyDescent="0.3">
      <c r="A32" s="2" t="s">
        <v>400</v>
      </c>
      <c r="C32" s="6"/>
      <c r="D32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F235D-92A6-4413-AED1-2205B4A32B16}">
  <sheetPr codeName="Sheet177"/>
  <dimension ref="A7:C38"/>
  <sheetViews>
    <sheetView workbookViewId="0"/>
  </sheetViews>
  <sheetFormatPr defaultRowHeight="14" x14ac:dyDescent="0.3"/>
  <cols>
    <col min="1" max="1" width="60.6328125" style="2" customWidth="1"/>
    <col min="2" max="3" width="30.6328125" style="2" customWidth="1"/>
    <col min="4" max="16384" width="8.7265625" style="2"/>
  </cols>
  <sheetData>
    <row r="7" spans="1:3" x14ac:dyDescent="0.3">
      <c r="A7" s="1" t="s">
        <v>127</v>
      </c>
      <c r="B7" s="1" t="s">
        <v>170</v>
      </c>
      <c r="C7" s="1" t="s">
        <v>171</v>
      </c>
    </row>
    <row r="8" spans="1:3" x14ac:dyDescent="0.3">
      <c r="A8" s="1" t="s">
        <v>401</v>
      </c>
      <c r="B8" s="6"/>
      <c r="C8" s="6"/>
    </row>
    <row r="9" spans="1:3" x14ac:dyDescent="0.3">
      <c r="A9" s="2" t="s">
        <v>402</v>
      </c>
      <c r="B9" s="6">
        <f>Statement_of_PL!C26</f>
        <v>0</v>
      </c>
      <c r="C9" s="6">
        <f>Statement_of_PL!D26</f>
        <v>0</v>
      </c>
    </row>
    <row r="10" spans="1:3" x14ac:dyDescent="0.3">
      <c r="A10" s="2" t="s">
        <v>403</v>
      </c>
      <c r="B10" s="6"/>
      <c r="C10" s="6"/>
    </row>
    <row r="11" spans="1:3" x14ac:dyDescent="0.3">
      <c r="A11" s="2" t="s">
        <v>388</v>
      </c>
      <c r="B11" s="6">
        <f>SUMIFS(tblTrialBalance[Closing Balance (CY)], tblTrialBalance[Major Head], "Depreciation and Amortization")</f>
        <v>0</v>
      </c>
      <c r="C11" s="6">
        <f>SUMIFS(tblTrialBalance[Closing Balance (PY)], tblTrialBalance[Major Head], "Depreciation and Amortization")</f>
        <v>0</v>
      </c>
    </row>
    <row r="12" spans="1:3" x14ac:dyDescent="0.3">
      <c r="A12" s="2" t="s">
        <v>387</v>
      </c>
      <c r="B12" s="6">
        <f>SUMIFS(tblTrialBalance[Closing Balance (CY)], tblTrialBalance[Major Head], "Finance Costs")</f>
        <v>0</v>
      </c>
      <c r="C12" s="6">
        <f>SUMIFS(tblTrialBalance[Closing Balance (PY)], tblTrialBalance[Major Head], "Finance Costs")</f>
        <v>0</v>
      </c>
    </row>
    <row r="13" spans="1:3" x14ac:dyDescent="0.3">
      <c r="A13" s="2" t="s">
        <v>404</v>
      </c>
      <c r="B13" s="6">
        <f>-SUMIFS(tblTrialBalance[Closing Balance (CY)], tblTrialBalance[Grouping], "Interest Income")</f>
        <v>0</v>
      </c>
      <c r="C13" s="6">
        <f>-SUMIFS(tblTrialBalance[Closing Balance (PY)], tblTrialBalance[Grouping], "Interest Income")</f>
        <v>0</v>
      </c>
    </row>
    <row r="14" spans="1:3" x14ac:dyDescent="0.3">
      <c r="A14" s="1" t="s">
        <v>405</v>
      </c>
      <c r="B14" s="7">
        <f>SUM(B10:B13)</f>
        <v>0</v>
      </c>
      <c r="C14" s="6">
        <f>SUM(C10:C13)</f>
        <v>0</v>
      </c>
    </row>
    <row r="15" spans="1:3" x14ac:dyDescent="0.3">
      <c r="B15" s="6"/>
      <c r="C15" s="6"/>
    </row>
    <row r="16" spans="1:3" x14ac:dyDescent="0.3">
      <c r="A16" s="2" t="s">
        <v>406</v>
      </c>
      <c r="B16" s="6"/>
      <c r="C16" s="6"/>
    </row>
    <row r="17" spans="1:3" x14ac:dyDescent="0.3">
      <c r="A17" s="2" t="s">
        <v>407</v>
      </c>
      <c r="B17" s="6">
        <f>(SUMIF(tblTrialBalance[Major Head],"Trade Receivables",tblTrialBalance[Opening Balance (CY)])-SUMIF(tblTrialBalance[Major Head],"Trade Receivables",tblTrialBalance[Closing Balance (CY)]))</f>
        <v>0</v>
      </c>
      <c r="C17" s="6">
        <f>(SUMIF(tblTrialBalance[Major Head],"Trade Receivables",tblTrialBalance[Closing Balance (PY)])-SUMIF(tblTrialBalance[Major Head],"Trade Receivables",tblTrialBalance[Opening Balance (CY)]))</f>
        <v>0</v>
      </c>
    </row>
    <row r="18" spans="1:3" x14ac:dyDescent="0.3">
      <c r="A18" s="2" t="s">
        <v>408</v>
      </c>
      <c r="B18" s="6">
        <f>(SUMIF(tblTrialBalance[Major Head],"Inventories",tblTrialBalance[Opening Balance (CY)])-SUMIF(tblTrialBalance[Major Head],"Inventories",tblTrialBalance[Closing Balance (CY)]))</f>
        <v>0</v>
      </c>
      <c r="C18" s="6">
        <f>(SUMIF(tblTrialBalance[Major Head],"Inventories",tblTrialBalance[Closing Balance (PY)])-SUMIF(tblTrialBalance[Major Head],"Inventories",tblTrialBalance[Opening Balance (CY)]))</f>
        <v>0</v>
      </c>
    </row>
    <row r="19" spans="1:3" x14ac:dyDescent="0.3">
      <c r="A19" s="2" t="s">
        <v>409</v>
      </c>
      <c r="B19" s="6">
        <f>(SUMIF(tblTrialBalance[Major Head],"Trade Payables",tblTrialBalance[Closing Balance (CY)])-SUMIF(tblTrialBalance[Major Head],"Trade Payables",tblTrialBalance[Opening Balance (CY)]))</f>
        <v>0</v>
      </c>
      <c r="C19" s="6">
        <f>(SUMIF(tblTrialBalance[Major Head],"Trade Payables",tblTrialBalance[Opening Balance (CY)])-SUMIF(tblTrialBalance[Major Head],"Trade Payables",tblTrialBalance[Closing Balance (PY)]))</f>
        <v>0</v>
      </c>
    </row>
    <row r="20" spans="1:3" x14ac:dyDescent="0.3">
      <c r="A20" s="1" t="s">
        <v>410</v>
      </c>
      <c r="B20" s="7">
        <f>SUM(B16:B19)</f>
        <v>0</v>
      </c>
      <c r="C20" s="6">
        <f>SUM(C16:C19)</f>
        <v>0</v>
      </c>
    </row>
    <row r="21" spans="1:3" x14ac:dyDescent="0.3">
      <c r="A21" s="2" t="s">
        <v>411</v>
      </c>
      <c r="B21" s="6">
        <f>-SUMIFS(tblTrialBalance[Closing Balance (CY)], tblTrialBalance[Major Head], "Taxes on Income")</f>
        <v>0</v>
      </c>
      <c r="C21" s="6">
        <f>-SUMIFS(tblTrialBalance[Closing Balance (PY)], tblTrialBalance[Major Head], "Taxes on Income")</f>
        <v>0</v>
      </c>
    </row>
    <row r="22" spans="1:3" x14ac:dyDescent="0.3">
      <c r="A22" s="1" t="s">
        <v>412</v>
      </c>
      <c r="B22" s="7">
        <f>B20+B21</f>
        <v>0</v>
      </c>
      <c r="C22" s="6">
        <f>C20+C21</f>
        <v>0</v>
      </c>
    </row>
    <row r="23" spans="1:3" x14ac:dyDescent="0.3">
      <c r="B23" s="6"/>
      <c r="C23" s="6"/>
    </row>
    <row r="24" spans="1:3" x14ac:dyDescent="0.3">
      <c r="A24" s="1" t="s">
        <v>413</v>
      </c>
      <c r="B24" s="6"/>
      <c r="C24" s="6"/>
    </row>
    <row r="25" spans="1:3" x14ac:dyDescent="0.3">
      <c r="A25" s="2" t="s">
        <v>414</v>
      </c>
      <c r="B25" s="6">
        <f>(SUMIF(tblTrialBalance[Major Head],"Property, Plant and Equipment",tblTrialBalance[Opening Balance (CY)])-SUMIF(tblTrialBalance[Major Head],"Property, Plant and Equipment",tblTrialBalance[Closing Balance (CY)]))</f>
        <v>0</v>
      </c>
      <c r="C25" s="6">
        <f>(SUMIF(tblTrialBalance[Major Head],"Property, Plant and Equipment",tblTrialBalance[Closing Balance (PY)])-SUMIF(tblTrialBalance[Major Head],"Property, Plant and Equipment",tblTrialBalance[Opening Balance (CY)]))</f>
        <v>0</v>
      </c>
    </row>
    <row r="26" spans="1:3" x14ac:dyDescent="0.3">
      <c r="A26" s="2" t="s">
        <v>415</v>
      </c>
      <c r="B26" s="6">
        <f>-SUMIFS(tblTrialBalance[Closing Balance (CY)], tblTrialBalance[Grouping], "Interest Income")</f>
        <v>0</v>
      </c>
      <c r="C26" s="6">
        <f>-SUMIFS(tblTrialBalance[Closing Balance (PY)], tblTrialBalance[Grouping], "Interest Income")</f>
        <v>0</v>
      </c>
    </row>
    <row r="27" spans="1:3" x14ac:dyDescent="0.3">
      <c r="A27" s="1" t="s">
        <v>416</v>
      </c>
      <c r="B27" s="7">
        <f>SUM(B25:B26)</f>
        <v>0</v>
      </c>
      <c r="C27" s="6">
        <f>SUM(C25:C26)</f>
        <v>0</v>
      </c>
    </row>
    <row r="28" spans="1:3" x14ac:dyDescent="0.3">
      <c r="B28" s="6"/>
      <c r="C28" s="6"/>
    </row>
    <row r="29" spans="1:3" x14ac:dyDescent="0.3">
      <c r="A29" s="1" t="s">
        <v>417</v>
      </c>
      <c r="B29" s="6"/>
      <c r="C29" s="6"/>
    </row>
    <row r="30" spans="1:3" x14ac:dyDescent="0.3">
      <c r="A30" s="2" t="s">
        <v>418</v>
      </c>
      <c r="B30" s="6">
        <f>(SUMIF(tblTrialBalance[Major Head],"Equity Share Capital",tblTrialBalance[Closing Balance (CY)])-SUMIF(tblTrialBalance[Major Head],"Equity Share Capital",tblTrialBalance[Opening Balance (CY)]))</f>
        <v>0</v>
      </c>
      <c r="C30" s="6">
        <f>(SUMIF(tblTrialBalance[Major Head],"Equity Share Capital",tblTrialBalance[Opening Balance (CY)])-SUMIF(tblTrialBalance[Major Head],"Equity Share Capital",tblTrialBalance[Closing Balance (PY)]))</f>
        <v>0</v>
      </c>
    </row>
    <row r="31" spans="1:3" x14ac:dyDescent="0.3">
      <c r="A31" s="2" t="s">
        <v>419</v>
      </c>
      <c r="B31" s="6">
        <f>(SUMIF(tblTrialBalance[Major Head],"Long-term Borrowings",tblTrialBalance[Closing Balance (CY)])-SUMIF(tblTrialBalance[Major Head],"Long-term Borrowings",tblTrialBalance[Opening Balance (CY)]))</f>
        <v>0</v>
      </c>
      <c r="C31" s="6">
        <f>(SUMIF(tblTrialBalance[Major Head],"Long-term Borrowings",tblTrialBalance[Opening Balance (CY)])-SUMIF(tblTrialBalance[Major Head],"Long-term Borrowings",tblTrialBalance[Closing Balance (PY)]))</f>
        <v>0</v>
      </c>
    </row>
    <row r="32" spans="1:3" x14ac:dyDescent="0.3">
      <c r="A32" s="2" t="s">
        <v>420</v>
      </c>
      <c r="B32" s="6">
        <f>-SUMIFS(tblTrialBalance[Closing Balance (CY)], tblTrialBalance[Major Head], "Finance Costs")</f>
        <v>0</v>
      </c>
      <c r="C32" s="6">
        <f>-SUMIFS(tblTrialBalance[Closing Balance (PY)], tblTrialBalance[Major Head], "Finance Costs")</f>
        <v>0</v>
      </c>
    </row>
    <row r="33" spans="1:3" x14ac:dyDescent="0.3">
      <c r="A33" s="1" t="s">
        <v>421</v>
      </c>
      <c r="B33" s="7">
        <f>SUM(B30:B32)</f>
        <v>0</v>
      </c>
      <c r="C33" s="6">
        <f>SUM(C30:C32)</f>
        <v>0</v>
      </c>
    </row>
    <row r="34" spans="1:3" x14ac:dyDescent="0.3">
      <c r="B34" s="6"/>
      <c r="C34" s="6"/>
    </row>
    <row r="35" spans="1:3" x14ac:dyDescent="0.3">
      <c r="A35" s="1" t="s">
        <v>422</v>
      </c>
      <c r="B35" s="7">
        <f>B24+B29+B34</f>
        <v>0</v>
      </c>
      <c r="C35" s="6">
        <f>C24+C29+C34</f>
        <v>0</v>
      </c>
    </row>
    <row r="36" spans="1:3" x14ac:dyDescent="0.3">
      <c r="A36" s="2" t="s">
        <v>423</v>
      </c>
      <c r="B36" s="6">
        <f>SUMIF(tblTrialBalance[Major Head],"Cash and Cash Equivalents",tblTrialBalance[Opening Balance (CY)])</f>
        <v>0</v>
      </c>
      <c r="C36" s="6">
        <f>SUMIF(tblTrialBalance[Major Head],"Cash and Cash Equivalents",tblTrialBalance[Closing Balance (PY)])</f>
        <v>0</v>
      </c>
    </row>
    <row r="37" spans="1:3" x14ac:dyDescent="0.3">
      <c r="A37" s="1" t="s">
        <v>424</v>
      </c>
      <c r="B37" s="7">
        <f>SUM(B35:B36)</f>
        <v>0</v>
      </c>
      <c r="C37" s="6">
        <f>SUM(C35:C36)</f>
        <v>0</v>
      </c>
    </row>
    <row r="38" spans="1:3" x14ac:dyDescent="0.3">
      <c r="B38" s="6"/>
      <c r="C38" s="6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6278-7320-46BD-B1D3-C5CB57DFE921}">
  <sheetPr codeName="Sheet178"/>
  <dimension ref="A1"/>
  <sheetViews>
    <sheetView workbookViewId="0"/>
  </sheetViews>
  <sheetFormatPr defaultRowHeight="14" x14ac:dyDescent="0.3"/>
  <cols>
    <col min="1" max="16384" width="8.7265625" style="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4FC55-225E-4D3D-B500-14A59FE5D446}">
  <sheetPr codeName="Sheet179"/>
  <dimension ref="A1:F3"/>
  <sheetViews>
    <sheetView workbookViewId="0"/>
  </sheetViews>
  <sheetFormatPr defaultRowHeight="14" x14ac:dyDescent="0.3"/>
  <cols>
    <col min="1" max="1" width="12.54296875" style="2" customWidth="1"/>
    <col min="2" max="2" width="9.7265625" style="2" customWidth="1"/>
    <col min="3" max="3" width="19.08984375" style="2" customWidth="1"/>
    <col min="4" max="4" width="19.81640625" style="2" customWidth="1"/>
    <col min="5" max="5" width="13.26953125" style="2" customWidth="1"/>
    <col min="6" max="6" width="28.7265625" style="2" customWidth="1"/>
    <col min="7" max="16384" width="8.7265625" style="2"/>
  </cols>
  <sheetData>
    <row r="1" spans="1:6" x14ac:dyDescent="0.3">
      <c r="A1" s="1" t="s">
        <v>426</v>
      </c>
    </row>
    <row r="3" spans="1:6" x14ac:dyDescent="0.3">
      <c r="A3" s="2" t="s">
        <v>427</v>
      </c>
      <c r="B3" s="2" t="s">
        <v>428</v>
      </c>
      <c r="C3" s="2" t="s">
        <v>429</v>
      </c>
      <c r="D3" s="2" t="s">
        <v>430</v>
      </c>
      <c r="E3" s="2" t="s">
        <v>431</v>
      </c>
      <c r="F3" s="2" t="s">
        <v>432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A2B4-6E3C-4727-93BB-C697443E0D49}">
  <sheetPr codeName="Sheet180"/>
  <dimension ref="A2:G17"/>
  <sheetViews>
    <sheetView workbookViewId="0"/>
  </sheetViews>
  <sheetFormatPr defaultRowHeight="14" x14ac:dyDescent="0.3"/>
  <cols>
    <col min="1" max="1" width="31.90625" style="2" bestFit="1" customWidth="1"/>
    <col min="2" max="2" width="10.36328125" style="2" bestFit="1" customWidth="1"/>
    <col min="3" max="3" width="15.7265625" style="2" bestFit="1" customWidth="1"/>
    <col min="4" max="5" width="8.54296875" style="2" bestFit="1" customWidth="1"/>
    <col min="6" max="6" width="8.36328125" style="2" bestFit="1" customWidth="1"/>
    <col min="7" max="7" width="5.7265625" style="2" bestFit="1" customWidth="1"/>
    <col min="8" max="16384" width="8.7265625" style="2"/>
  </cols>
  <sheetData>
    <row r="2" spans="1:7" x14ac:dyDescent="0.3">
      <c r="A2" s="1" t="s">
        <v>433</v>
      </c>
    </row>
    <row r="4" spans="1:7" x14ac:dyDescent="0.3">
      <c r="A4" s="11" t="s">
        <v>127</v>
      </c>
      <c r="B4" s="11" t="s">
        <v>434</v>
      </c>
      <c r="C4" s="11" t="s">
        <v>435</v>
      </c>
      <c r="D4" s="11" t="s">
        <v>152</v>
      </c>
      <c r="E4" s="11" t="s">
        <v>153</v>
      </c>
      <c r="F4" s="11" t="s">
        <v>154</v>
      </c>
      <c r="G4" s="11" t="s">
        <v>155</v>
      </c>
    </row>
    <row r="5" spans="1:7" x14ac:dyDescent="0.3">
      <c r="A5" s="12" t="s">
        <v>436</v>
      </c>
      <c r="B5" s="13">
        <f>SUMIFS(Input_Receivables_Ledger!$F:$F, Input_Receivables_Ledger!$G:$G, "No", Input_Receivables_Ledger!$I:$I, "&lt; 182 Days")</f>
        <v>0</v>
      </c>
      <c r="C5" s="13">
        <f>SUMIFS(Input_Receivables_Ledger!$F:$F, Input_Receivables_Ledger!$G:$G, "No", Input_Receivables_Ledger!$I:$I, "182-365 Days")</f>
        <v>0</v>
      </c>
      <c r="D5" s="13">
        <f>SUMIFS(Input_Receivables_Ledger!$F:$F, Input_Receivables_Ledger!$G:$G, "No", Input_Receivables_Ledger!$I:$I, "1-2 Years")</f>
        <v>0</v>
      </c>
      <c r="E5" s="13">
        <f>SUMIFS(Input_Receivables_Ledger!$F:$F, Input_Receivables_Ledger!$G:$G, "No", Input_Receivables_Ledger!$I:$I, "2-3 Years")</f>
        <v>0</v>
      </c>
      <c r="F5" s="13">
        <f>SUMIFS(Input_Receivables_Ledger!$F:$F, Input_Receivables_Ledger!$G:$G, "No", Input_Receivables_Ledger!$I:$I, "&gt; 3 Years")</f>
        <v>0</v>
      </c>
      <c r="G5" s="13">
        <f>SUM(B5:F5)</f>
        <v>0</v>
      </c>
    </row>
    <row r="6" spans="1:7" x14ac:dyDescent="0.3">
      <c r="A6" s="12" t="s">
        <v>437</v>
      </c>
      <c r="B6" s="13">
        <f>SUMIFS(Input_Receivables_Ledger!$F:$F, Input_Receivables_Ledger!$G:$G, "Yes", Input_Receivables_Ledger!$I:$I, "&lt; 182 Days")</f>
        <v>0</v>
      </c>
      <c r="C6" s="13">
        <f>SUMIFS(Input_Receivables_Ledger!$F:$F, Input_Receivables_Ledger!$G:$G, "Yes", Input_Receivables_Ledger!$I:$I, "182-365 Days")</f>
        <v>0</v>
      </c>
      <c r="D6" s="13">
        <f>SUMIFS(Input_Receivables_Ledger!$F:$F, Input_Receivables_Ledger!$G:$G, "Yes", Input_Receivables_Ledger!$I:$I, "1-2 Years")</f>
        <v>0</v>
      </c>
      <c r="E6" s="13">
        <f>SUMIFS(Input_Receivables_Ledger!$F:$F, Input_Receivables_Ledger!$G:$G, "Yes", Input_Receivables_Ledger!$I:$I, "2-3 Years")</f>
        <v>0</v>
      </c>
      <c r="F6" s="13">
        <f>SUMIFS(Input_Receivables_Ledger!$F:$F, Input_Receivables_Ledger!$G:$G, "Yes", Input_Receivables_Ledger!$I:$I, "&gt; 3 Years")</f>
        <v>0</v>
      </c>
      <c r="G6" s="13">
        <f>SUM(B6:F6)</f>
        <v>0</v>
      </c>
    </row>
    <row r="7" spans="1:7" x14ac:dyDescent="0.3">
      <c r="A7" s="11" t="s">
        <v>155</v>
      </c>
      <c r="B7" s="14">
        <f t="shared" ref="B7:G7" si="0">SUM(B5:B6)</f>
        <v>0</v>
      </c>
      <c r="C7" s="14">
        <f t="shared" si="0"/>
        <v>0</v>
      </c>
      <c r="D7" s="14">
        <f t="shared" si="0"/>
        <v>0</v>
      </c>
      <c r="E7" s="14">
        <f t="shared" si="0"/>
        <v>0</v>
      </c>
      <c r="F7" s="14">
        <f t="shared" si="0"/>
        <v>0</v>
      </c>
      <c r="G7" s="14">
        <f t="shared" si="0"/>
        <v>0</v>
      </c>
    </row>
    <row r="11" spans="1:7" x14ac:dyDescent="0.3">
      <c r="A11" s="1" t="s">
        <v>438</v>
      </c>
    </row>
    <row r="13" spans="1:7" x14ac:dyDescent="0.3">
      <c r="A13" s="11" t="s">
        <v>127</v>
      </c>
      <c r="B13" s="11" t="s">
        <v>434</v>
      </c>
      <c r="C13" s="11" t="s">
        <v>435</v>
      </c>
      <c r="D13" s="11" t="s">
        <v>152</v>
      </c>
      <c r="E13" s="11" t="s">
        <v>153</v>
      </c>
      <c r="F13" s="11" t="s">
        <v>154</v>
      </c>
      <c r="G13" s="11" t="s">
        <v>155</v>
      </c>
    </row>
    <row r="14" spans="1:7" x14ac:dyDescent="0.3">
      <c r="A14" s="12" t="s">
        <v>439</v>
      </c>
      <c r="B14" s="13">
        <f>SUMIFS(Input_Payables_Ledger!$F:$F, Input_Payables_Ledger!$H:$H, "MSME", Input_Payables_Ledger!$I:$I, "&lt; 182 Days")</f>
        <v>0</v>
      </c>
      <c r="C14" s="13">
        <f>SUMIFS(Input_Payables_Ledger!$F:$F, Input_Payables_Ledger!$H:$H, "MSME", Input_Payables_Ledger!$I:$I, "182-365 Days")</f>
        <v>0</v>
      </c>
      <c r="D14" s="13">
        <f>SUMIFS(Input_Payables_Ledger!$F:$F, Input_Payables_Ledger!$H:$H, "MSME", Input_Payables_Ledger!$I:$I, "1-2 Years")</f>
        <v>0</v>
      </c>
      <c r="E14" s="13">
        <f>SUMIFS(Input_Payables_Ledger!$F:$F, Input_Payables_Ledger!$H:$H, "MSME", Input_Payables_Ledger!$I:$I, "2-3 Years")</f>
        <v>0</v>
      </c>
      <c r="F14" s="13">
        <f>SUMIFS(Input_Payables_Ledger!$F:$F, Input_Payables_Ledger!$H:$H, "MSME", Input_Payables_Ledger!$I:$I, "&gt; 3 Years")</f>
        <v>0</v>
      </c>
      <c r="G14" s="13">
        <f>SUM(B14:F14)</f>
        <v>0</v>
      </c>
    </row>
    <row r="15" spans="1:7" x14ac:dyDescent="0.3">
      <c r="A15" s="12" t="s">
        <v>443</v>
      </c>
      <c r="B15" s="13">
        <f>SUMIFS(Input_Payables_Ledger!$F:$F, Input_Payables_Ledger!$H:$H, "Other", Input_Payables_Ledger!$G:$G, "Yes", Input_Payables_Ledger!$I:$I, "&lt; 182 Days")</f>
        <v>0</v>
      </c>
      <c r="C15" s="13">
        <f>SUMIFS(Input_Payables_Ledger!$F:$F, Input_Payables_Ledger!$H:$H, "Other", Input_Payables_Ledger!$G:$G, "Yes", Input_Payables_Ledger!$I:$I, "182-365 Days")</f>
        <v>0</v>
      </c>
      <c r="D15" s="13">
        <f>SUMIFS(Input_Payables_Ledger!$F:$F, Input_Payables_Ledger!$H:$H, "Other", Input_Payables_Ledger!$G:$G, "Yes", Input_Payables_Ledger!$I:$I, "1-2 Years")</f>
        <v>0</v>
      </c>
      <c r="E15" s="13">
        <f>SUMIFS(Input_Payables_Ledger!$F:$F, Input_Payables_Ledger!$H:$H, "Other", Input_Payables_Ledger!$G:$G, "Yes", Input_Payables_Ledger!$I:$I, "2-3 Years")</f>
        <v>0</v>
      </c>
      <c r="F15" s="13">
        <f>SUMIFS(Input_Payables_Ledger!$F:$F, Input_Payables_Ledger!$H:$H, "Other", Input_Payables_Ledger!$G:$G, "Yes", Input_Payables_Ledger!$I:$I, "&gt; 3 Years")</f>
        <v>0</v>
      </c>
      <c r="G15" s="13">
        <f>SUM(B15:F15)</f>
        <v>0</v>
      </c>
    </row>
    <row r="16" spans="1:7" x14ac:dyDescent="0.3">
      <c r="A16" s="12" t="s">
        <v>444</v>
      </c>
      <c r="B16" s="13">
        <f>SUMIFS(Input_Payables_Ledger!$F:$F, Input_Payables_Ledger!$H:$H, "Other", Input_Payables_Ledger!$G:$G, "No", Input_Payables_Ledger!$I:$I, "&lt; 182 Days")</f>
        <v>0</v>
      </c>
      <c r="C16" s="13">
        <f>SUMIFS(Input_Payables_Ledger!$F:$F, Input_Payables_Ledger!$H:$H, "Other", Input_Payables_Ledger!$G:$G, "No", Input_Payables_Ledger!$I:$I, "182-365 Days")</f>
        <v>0</v>
      </c>
      <c r="D16" s="13">
        <f>SUMIFS(Input_Payables_Ledger!$F:$F, Input_Payables_Ledger!$H:$H, "Other", Input_Payables_Ledger!$G:$G, "No", Input_Payables_Ledger!$I:$I, "1-2 Years")</f>
        <v>0</v>
      </c>
      <c r="E16" s="13">
        <f>SUMIFS(Input_Payables_Ledger!$F:$F, Input_Payables_Ledger!$H:$H, "Other", Input_Payables_Ledger!$G:$G, "No", Input_Payables_Ledger!$I:$I, "2-3 Years")</f>
        <v>0</v>
      </c>
      <c r="F16" s="13">
        <f>SUMIFS(Input_Payables_Ledger!$F:$F, Input_Payables_Ledger!$H:$H, "Other", Input_Payables_Ledger!$G:$G, "No", Input_Payables_Ledger!$I:$I, "&gt; 3 Years")</f>
        <v>0</v>
      </c>
      <c r="G16" s="13">
        <f>SUM(B16:F16)</f>
        <v>0</v>
      </c>
    </row>
    <row r="17" spans="1:7" x14ac:dyDescent="0.3">
      <c r="A17" s="11" t="s">
        <v>155</v>
      </c>
      <c r="B17" s="14">
        <f t="shared" ref="B17:G17" si="1">SUM(B14:B16)</f>
        <v>0</v>
      </c>
      <c r="C17" s="14">
        <f t="shared" si="1"/>
        <v>0</v>
      </c>
      <c r="D17" s="14">
        <f t="shared" si="1"/>
        <v>0</v>
      </c>
      <c r="E17" s="14">
        <f t="shared" si="1"/>
        <v>0</v>
      </c>
      <c r="F17" s="14">
        <f t="shared" si="1"/>
        <v>0</v>
      </c>
      <c r="G17" s="14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Common_Control_Sheet</vt:lpstr>
      <vt:lpstr>Input_Trial_Balance</vt:lpstr>
      <vt:lpstr>Input_Share_Capital</vt:lpstr>
      <vt:lpstr>Input_PPE_Schedule</vt:lpstr>
      <vt:lpstr>Input_CWIP_Schedule</vt:lpstr>
      <vt:lpstr>Input_Intangible_Schedule</vt:lpstr>
      <vt:lpstr>Input_Investments</vt:lpstr>
      <vt:lpstr>Input_Employee_Benefits</vt:lpstr>
      <vt:lpstr>Input_Taxes</vt:lpstr>
      <vt:lpstr>Input_Related_Party_Txns</vt:lpstr>
      <vt:lpstr>Input_Contingent_Liab</vt:lpstr>
      <vt:lpstr>Input_Receivables_Ledger</vt:lpstr>
      <vt:lpstr>Input_Payables_Ledger</vt:lpstr>
      <vt:lpstr>Selection_Sheet</vt:lpstr>
      <vt:lpstr>Balance_Sheet</vt:lpstr>
      <vt:lpstr>Statement_of_PL</vt:lpstr>
      <vt:lpstr>Cash_Flow_Statement</vt:lpstr>
      <vt:lpstr>Notes_to_Accounts</vt:lpstr>
      <vt:lpstr>Ratio_Analysis</vt:lpstr>
      <vt:lpstr>Aging_Schedules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Gautam Mishra</dc:creator>
  <cp:lastModifiedBy>Gautam Mishra</cp:lastModifiedBy>
  <dcterms:created xsi:type="dcterms:W3CDTF">2015-06-05T18:17:20Z</dcterms:created>
  <dcterms:modified xsi:type="dcterms:W3CDTF">2025-10-08T13:35:59Z</dcterms:modified>
</cp:coreProperties>
</file>